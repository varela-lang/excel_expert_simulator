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 Sergio\Downloads\"/>
    </mc:Choice>
  </mc:AlternateContent>
  <xr:revisionPtr revIDLastSave="0" documentId="13_ncr:1_{A9D919F3-CD27-474F-8738-47174531A656}" xr6:coauthVersionLast="47" xr6:coauthVersionMax="47" xr10:uidLastSave="{00000000-0000-0000-0000-000000000000}"/>
  <bookViews>
    <workbookView xWindow="-120" yWindow="-120" windowWidth="20730" windowHeight="11040" activeTab="4" xr2:uid="{A70F1EB2-10DE-45BA-8267-D2C472CC5416}"/>
  </bookViews>
  <sheets>
    <sheet name="Auction" sheetId="1" r:id="rId1"/>
    <sheet name="videojuegos" sheetId="4" r:id="rId2"/>
    <sheet name="Auction Analysis" sheetId="5" r:id="rId3"/>
    <sheet name="Pricing" sheetId="2" r:id="rId4"/>
    <sheet name="Customers" sheetId="3" r:id="rId5"/>
  </sheets>
  <definedNames>
    <definedName name="DatosExternos_1" localSheetId="1" hidden="1">videojuegos!$A$1:$I$196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70E21D-29C1-4B66-91ED-39038295598F}" keepAlive="1" name="Query - Ventas Videojuegos" description="Connection to the 'Ventas Videojuegos' query in the workbook." type="5" refreshedVersion="8" background="1" saveData="1">
    <dbPr connection="Provider=Microsoft.Mashup.OleDb.1;Data Source=$Workbook$;Location=&quot;Ventas Videojuegos&quot;;Extended Properties=&quot;&quot;" command="SELECT * FROM [Ventas Videojuegos]"/>
  </connection>
</connections>
</file>

<file path=xl/sharedStrings.xml><?xml version="1.0" encoding="utf-8"?>
<sst xmlns="http://schemas.openxmlformats.org/spreadsheetml/2006/main" count="1053" uniqueCount="474">
  <si>
    <t>Contoso, Ldt.</t>
  </si>
  <si>
    <t>Online Auction</t>
  </si>
  <si>
    <t>Item ID</t>
  </si>
  <si>
    <t>Item</t>
  </si>
  <si>
    <t>Category</t>
  </si>
  <si>
    <t>Bid</t>
  </si>
  <si>
    <t>Date</t>
  </si>
  <si>
    <t>Customer ID</t>
  </si>
  <si>
    <t>Diamond Earrings</t>
  </si>
  <si>
    <t>Antique Brass Lantern Clock</t>
  </si>
  <si>
    <t>Sapphire and Diamond Necklace</t>
  </si>
  <si>
    <t>Jewelry</t>
  </si>
  <si>
    <t>8/2/2026</t>
  </si>
  <si>
    <t>Clocks and Watches</t>
  </si>
  <si>
    <t>8/3/2026</t>
  </si>
  <si>
    <t>Pearl and Diamond Ring</t>
  </si>
  <si>
    <t>8/4/2026</t>
  </si>
  <si>
    <t>8/5/2026</t>
  </si>
  <si>
    <t>Pair of 17th Century Gold Candelabras</t>
  </si>
  <si>
    <t>Decoration</t>
  </si>
  <si>
    <t>19th Century Lacquer Commode</t>
  </si>
  <si>
    <t>Furniture</t>
  </si>
  <si>
    <t>8/6/2026</t>
  </si>
  <si>
    <t>Emerald Ring</t>
  </si>
  <si>
    <t>8/7/2026</t>
  </si>
  <si>
    <t>17th Century Mahogany Longcase Clock</t>
  </si>
  <si>
    <t>08/09/2026</t>
  </si>
  <si>
    <t>08/10/2026</t>
  </si>
  <si>
    <t>08/08/2026</t>
  </si>
  <si>
    <t>Lacquer Commode</t>
  </si>
  <si>
    <t>08/07/2026</t>
  </si>
  <si>
    <t>Mahogany Longcase Clock</t>
  </si>
  <si>
    <t>Gold Candelabras</t>
  </si>
  <si>
    <t>08/02/2026</t>
  </si>
  <si>
    <t>08/06/2026</t>
  </si>
  <si>
    <t>08/11/2026</t>
  </si>
  <si>
    <t>08/05/2026</t>
  </si>
  <si>
    <t>08/01/2026</t>
  </si>
  <si>
    <t>08/03/2026</t>
  </si>
  <si>
    <t>Quantity</t>
  </si>
  <si>
    <t>Cost</t>
  </si>
  <si>
    <t>Markup</t>
  </si>
  <si>
    <t>Price</t>
  </si>
  <si>
    <t>Profit</t>
  </si>
  <si>
    <t>FIFA 17</t>
  </si>
  <si>
    <t>PS4</t>
  </si>
  <si>
    <t>Sports</t>
  </si>
  <si>
    <t>Electronic Arts</t>
  </si>
  <si>
    <t>Uncharted 4: A Thief's End</t>
  </si>
  <si>
    <t>Shooter</t>
  </si>
  <si>
    <t>Sony Computer Entertainment</t>
  </si>
  <si>
    <t>Tom Clancy's The Division</t>
  </si>
  <si>
    <t>Ubisoft</t>
  </si>
  <si>
    <t>Overwatch</t>
  </si>
  <si>
    <t>Activision</t>
  </si>
  <si>
    <t>No Man's Sky</t>
  </si>
  <si>
    <t>Action</t>
  </si>
  <si>
    <t>Hello Games</t>
  </si>
  <si>
    <t>Dark Souls III</t>
  </si>
  <si>
    <t>Role-Playing</t>
  </si>
  <si>
    <t>Namco Bandai Games</t>
  </si>
  <si>
    <t>Doom (2016)</t>
  </si>
  <si>
    <t>Bethesda Softworks</t>
  </si>
  <si>
    <t>Yokai Watch 3</t>
  </si>
  <si>
    <t>3DS</t>
  </si>
  <si>
    <t>Level 5</t>
  </si>
  <si>
    <t>NBA 2K17</t>
  </si>
  <si>
    <t>Take-Two Interactive</t>
  </si>
  <si>
    <t>The Legend of Zelda: Twilight Princess HD</t>
  </si>
  <si>
    <t>WiiU</t>
  </si>
  <si>
    <t>Nintendo</t>
  </si>
  <si>
    <t>Street Fighter V</t>
  </si>
  <si>
    <t>Fighting</t>
  </si>
  <si>
    <t>Capcom</t>
  </si>
  <si>
    <t>LEGO Marvel's Avengers</t>
  </si>
  <si>
    <t>Warner Bros. Interactive Entertainment</t>
  </si>
  <si>
    <t>Dragon Quest Monsters Joker 3</t>
  </si>
  <si>
    <t>Square Enix</t>
  </si>
  <si>
    <t>Quantum Break</t>
  </si>
  <si>
    <t>XOne</t>
  </si>
  <si>
    <t>Microsoft Game Studios</t>
  </si>
  <si>
    <t>Metal Gear Solid V: The Phantom Pain</t>
  </si>
  <si>
    <t>Konami Digital Entertainment</t>
  </si>
  <si>
    <t>Until Dawn</t>
  </si>
  <si>
    <t>Adventure</t>
  </si>
  <si>
    <t>Sony Computer Entertainment Europe</t>
  </si>
  <si>
    <t>Project CARS</t>
  </si>
  <si>
    <t>Racing</t>
  </si>
  <si>
    <t>Slightly Mad Studios</t>
  </si>
  <si>
    <t>Minecraft: Story Mode</t>
  </si>
  <si>
    <t>X360</t>
  </si>
  <si>
    <t>Mojang</t>
  </si>
  <si>
    <t>Monster Strike 3DS</t>
  </si>
  <si>
    <t>mixi, Inc</t>
  </si>
  <si>
    <t>Disney Infinity 3.0</t>
  </si>
  <si>
    <t>Disney Interactive Studios</t>
  </si>
  <si>
    <t>F1 2015</t>
  </si>
  <si>
    <t>Codemasters</t>
  </si>
  <si>
    <t>Farming Simulator 2015</t>
  </si>
  <si>
    <t>PS3</t>
  </si>
  <si>
    <t>Simulation</t>
  </si>
  <si>
    <t>Koch Media</t>
  </si>
  <si>
    <t>Persona 4: Dancing All Night</t>
  </si>
  <si>
    <t>PSV</t>
  </si>
  <si>
    <t>Misc</t>
  </si>
  <si>
    <t>Nippon Ichi Software</t>
  </si>
  <si>
    <t>Rock Band 4</t>
  </si>
  <si>
    <t>Harmonix Music Systems</t>
  </si>
  <si>
    <t>PC</t>
  </si>
  <si>
    <t>Focus Home Interactive</t>
  </si>
  <si>
    <t>Alien: Isolation</t>
  </si>
  <si>
    <t>Sega</t>
  </si>
  <si>
    <t>Metro: Last Light</t>
  </si>
  <si>
    <t>Deep Silver</t>
  </si>
  <si>
    <t>Sniper Elite 3</t>
  </si>
  <si>
    <t>505 Games</t>
  </si>
  <si>
    <t>MLB 14: The Show</t>
  </si>
  <si>
    <t>Sony Computer Entertainment America</t>
  </si>
  <si>
    <t>World of Warcraft: Warlords of Draenor</t>
  </si>
  <si>
    <t>Activision Blizzard</t>
  </si>
  <si>
    <t>The Walking Dead: Season One</t>
  </si>
  <si>
    <t>Telltale Games</t>
  </si>
  <si>
    <t>Puzzle &amp; Dragons</t>
  </si>
  <si>
    <t>GungHo</t>
  </si>
  <si>
    <t>Dynasty Warriors 8</t>
  </si>
  <si>
    <t>Tecmo Koei</t>
  </si>
  <si>
    <t>Shin Megami Tensei IV</t>
  </si>
  <si>
    <t>Atlus</t>
  </si>
  <si>
    <t>Defiance</t>
  </si>
  <si>
    <t>Trion Worlds</t>
  </si>
  <si>
    <t>Hometown Story</t>
  </si>
  <si>
    <t>Rising Star Games</t>
  </si>
  <si>
    <t>Attack on Titan: Humanity in Chains</t>
  </si>
  <si>
    <t>Screenlife</t>
  </si>
  <si>
    <t>Guild Wars 2</t>
  </si>
  <si>
    <t>NCSoft</t>
  </si>
  <si>
    <t>WWE '13</t>
  </si>
  <si>
    <t>THQ</t>
  </si>
  <si>
    <t>Harvest Moon 3D: A New Beginning</t>
  </si>
  <si>
    <t>Marvelous Entertainment</t>
  </si>
  <si>
    <t>Avanquest Software</t>
  </si>
  <si>
    <t>Rune Factory 4</t>
  </si>
  <si>
    <t>Xseed Games</t>
  </si>
  <si>
    <t>Zumba Fitness 2</t>
  </si>
  <si>
    <t>Wii</t>
  </si>
  <si>
    <t>Majesco Entertainment</t>
  </si>
  <si>
    <t>Portal 2</t>
  </si>
  <si>
    <t>Valve Software</t>
  </si>
  <si>
    <t>LEGO Star Wars III: The Clone Wars</t>
  </si>
  <si>
    <t>LucasArts</t>
  </si>
  <si>
    <t>Valve</t>
  </si>
  <si>
    <t>Plants vs. Zombies</t>
  </si>
  <si>
    <t>DS</t>
  </si>
  <si>
    <t>Strategy</t>
  </si>
  <si>
    <t>Mastertronic</t>
  </si>
  <si>
    <t>Final Fantasy Type-0</t>
  </si>
  <si>
    <t>PSP</t>
  </si>
  <si>
    <t>Unknown</t>
  </si>
  <si>
    <t>Sniper: Ghost Warrior</t>
  </si>
  <si>
    <t>City Interactive</t>
  </si>
  <si>
    <t>Country Dance</t>
  </si>
  <si>
    <t>Funbox Media</t>
  </si>
  <si>
    <t>Warriors Orochi 3</t>
  </si>
  <si>
    <t>Ubisoft Annecy</t>
  </si>
  <si>
    <t>DC Universe Online</t>
  </si>
  <si>
    <t>Sony Online Entertainment</t>
  </si>
  <si>
    <t>Country Dance 2</t>
  </si>
  <si>
    <t>GameMill Entertainment</t>
  </si>
  <si>
    <t>Tetris Axis</t>
  </si>
  <si>
    <t>Puzzle</t>
  </si>
  <si>
    <t>Tetris Online</t>
  </si>
  <si>
    <t>Dai-2-Ji Super Robot Taisen Z: Hakai-hen</t>
  </si>
  <si>
    <t>Banpresto</t>
  </si>
  <si>
    <t>Shin Megami Tensei: Devil Survivor Overclocked</t>
  </si>
  <si>
    <t>Ghostlight</t>
  </si>
  <si>
    <t>Dance Central</t>
  </si>
  <si>
    <t>MTV Games</t>
  </si>
  <si>
    <t>Harvest Moon: The Tale of Two Towns</t>
  </si>
  <si>
    <t>Natsume</t>
  </si>
  <si>
    <t>Despicable Me: The Game - Minion Mayhem</t>
  </si>
  <si>
    <t>D3Publisher</t>
  </si>
  <si>
    <t>We Sing Encore</t>
  </si>
  <si>
    <t>Nordic Games</t>
  </si>
  <si>
    <t>Deer Drive</t>
  </si>
  <si>
    <t>Mastiff</t>
  </si>
  <si>
    <t>BlazBlue: Continuum Shift</t>
  </si>
  <si>
    <t>PQube</t>
  </si>
  <si>
    <t>Get Fit with Mel B</t>
  </si>
  <si>
    <t>Black Bean Games</t>
  </si>
  <si>
    <t>Batman: Arkham Asylum</t>
  </si>
  <si>
    <t>Eidos Interactive</t>
  </si>
  <si>
    <t>Wipeout: The Game</t>
  </si>
  <si>
    <t>Mindscape</t>
  </si>
  <si>
    <t>Cabela's Big Game Hunter 2010</t>
  </si>
  <si>
    <t>Activision Value</t>
  </si>
  <si>
    <t>Deal or No Deal</t>
  </si>
  <si>
    <t>Zoo Games</t>
  </si>
  <si>
    <t>Ghostbusters: The Video Game</t>
  </si>
  <si>
    <t>Atari</t>
  </si>
  <si>
    <t>Deca Sports 2</t>
  </si>
  <si>
    <t>Hudson Soft</t>
  </si>
  <si>
    <t>Big Ben Interactive</t>
  </si>
  <si>
    <t>Hidden Objects: Mystery Stories</t>
  </si>
  <si>
    <t>GSP</t>
  </si>
  <si>
    <t>Real Heroes: Firefighter</t>
  </si>
  <si>
    <t>Rondomedia</t>
  </si>
  <si>
    <t>Major League Baseball 2K9</t>
  </si>
  <si>
    <t>Spike</t>
  </si>
  <si>
    <t>3D Dot Game Heroes</t>
  </si>
  <si>
    <t>SouthPeak Games</t>
  </si>
  <si>
    <t>50 Classic Games</t>
  </si>
  <si>
    <t>Destineer</t>
  </si>
  <si>
    <t>Bass Pro Shops: The Strike</t>
  </si>
  <si>
    <t>XS Games</t>
  </si>
  <si>
    <t>Jump Start Pet Rescue</t>
  </si>
  <si>
    <t>Knowledge Adventure</t>
  </si>
  <si>
    <t>999: Nine Hours, Nine Persons, Nine Doors</t>
  </si>
  <si>
    <t>ChunSoft</t>
  </si>
  <si>
    <t>My Virtual Tutor: Reading Adventure First to Second Grade</t>
  </si>
  <si>
    <t>Mentor Interactive</t>
  </si>
  <si>
    <t>Junior Classic Games</t>
  </si>
  <si>
    <t>Avanquest</t>
  </si>
  <si>
    <t>Peppa Pig: The Game</t>
  </si>
  <si>
    <t>Pinnacle</t>
  </si>
  <si>
    <t>Mortal Kombat vs. DC Universe</t>
  </si>
  <si>
    <t>Midway Games</t>
  </si>
  <si>
    <t>My Baby Girl</t>
  </si>
  <si>
    <t>Nobilis</t>
  </si>
  <si>
    <t>Turok</t>
  </si>
  <si>
    <t>Touchstone</t>
  </si>
  <si>
    <t>The Legend of Spyro: Dawn of the Dragon</t>
  </si>
  <si>
    <t>Platform</t>
  </si>
  <si>
    <t>Vivendi Games</t>
  </si>
  <si>
    <t>System 3 presents Ferrari Challenge Trofeo Pirelli</t>
  </si>
  <si>
    <t>System 3 Arcade Software</t>
  </si>
  <si>
    <t>Hello Kitty: Big City Dreams</t>
  </si>
  <si>
    <t>Empire Interactive</t>
  </si>
  <si>
    <t>Way of the Samurai 3</t>
  </si>
  <si>
    <t>Gamebridge</t>
  </si>
  <si>
    <t>Ultimate I Spy</t>
  </si>
  <si>
    <t>Scholastic Inc.</t>
  </si>
  <si>
    <t>Ford Racing Off Road</t>
  </si>
  <si>
    <t>Xplosiv</t>
  </si>
  <si>
    <t>Winter Sports 2: The Next Challenge</t>
  </si>
  <si>
    <t>RTL</t>
  </si>
  <si>
    <t>Naruto: Clash of Ninja Revolution 2</t>
  </si>
  <si>
    <t>Tomy Corporation</t>
  </si>
  <si>
    <t>Shrek / Shrek 2 2-in-1 Gameboy Advance Video</t>
  </si>
  <si>
    <t>GBA</t>
  </si>
  <si>
    <t>N/A</t>
  </si>
  <si>
    <t>Worldwide Soccer Manager 2008</t>
  </si>
  <si>
    <t>Russel</t>
  </si>
  <si>
    <t>Guitar Hero Encore: Rocks The 80s</t>
  </si>
  <si>
    <t>PS2</t>
  </si>
  <si>
    <t>RedOctane</t>
  </si>
  <si>
    <t>Build-A-Bear Workshop</t>
  </si>
  <si>
    <t>Game Factory</t>
  </si>
  <si>
    <t>Crayola: Treasure Adventures</t>
  </si>
  <si>
    <t>Ignition Entertainment</t>
  </si>
  <si>
    <t>Solitaire Overload</t>
  </si>
  <si>
    <t>Telegames</t>
  </si>
  <si>
    <t>World Championship Poker: Featuring Howard Lederer - All In</t>
  </si>
  <si>
    <t>Oxygen Interactive</t>
  </si>
  <si>
    <t>Parfait: Chocolat Second Style</t>
  </si>
  <si>
    <t>Alchemist</t>
  </si>
  <si>
    <t>Zaidan Houjin Nippon Kanji Nouryoko Kentei Kyoukai Kounin: KanKen DS</t>
  </si>
  <si>
    <t>Rocket Company</t>
  </si>
  <si>
    <t>Zaidan Houjin Nippon Kanji Nouryoku Kentei Kyoukai Koushiki Soft: 200 Mannin no KanKen: Tokoton Kanji Nou</t>
  </si>
  <si>
    <t>IE Institute</t>
  </si>
  <si>
    <t>Delta Force: Black Hawk Down</t>
  </si>
  <si>
    <t>NovaLogic</t>
  </si>
  <si>
    <t>Suzuki TT Superbikes</t>
  </si>
  <si>
    <t>Jester Interactive</t>
  </si>
  <si>
    <t>The Cat in the Hat</t>
  </si>
  <si>
    <t>Jack of All Games</t>
  </si>
  <si>
    <t>Dragon Quest V: Tenkuu no Hanayome</t>
  </si>
  <si>
    <t>Enix Corporation</t>
  </si>
  <si>
    <t>ESPN NBA 2K5</t>
  </si>
  <si>
    <t>Global Star</t>
  </si>
  <si>
    <t>Corvette</t>
  </si>
  <si>
    <t>TDK Mediactive</t>
  </si>
  <si>
    <t>Jissen Pachi-Slot Hisshouhou: Hokuto no Ken</t>
  </si>
  <si>
    <t>Sammy Corporation</t>
  </si>
  <si>
    <t>World Championship Poker</t>
  </si>
  <si>
    <t>Play It</t>
  </si>
  <si>
    <t>Mafia</t>
  </si>
  <si>
    <t>Illusion Softworks</t>
  </si>
  <si>
    <t>Baldur's Gate: Dark Alliance II</t>
  </si>
  <si>
    <t>Interplay</t>
  </si>
  <si>
    <t>Dora the Explorer: Super Spies</t>
  </si>
  <si>
    <t>Gotham Games</t>
  </si>
  <si>
    <t>Ms. Pac-Man Maze Madness</t>
  </si>
  <si>
    <t>Zoo Digital Publishing</t>
  </si>
  <si>
    <t>Derby Stallion 04</t>
  </si>
  <si>
    <t>Enterbrain</t>
  </si>
  <si>
    <t>Conflict: Vietnam</t>
  </si>
  <si>
    <t>SCi</t>
  </si>
  <si>
    <t>XB</t>
  </si>
  <si>
    <t>Crave Entertainment</t>
  </si>
  <si>
    <t>High Rollers Casino</t>
  </si>
  <si>
    <t>Mud Duck Productions</t>
  </si>
  <si>
    <t>Final Fantasy Tactics Advance</t>
  </si>
  <si>
    <t>SquareSoft</t>
  </si>
  <si>
    <t>Hulk</t>
  </si>
  <si>
    <t>Universal Interactive</t>
  </si>
  <si>
    <t>Tokyo Xtreme Racer 3</t>
  </si>
  <si>
    <t>Genki</t>
  </si>
  <si>
    <t>ATV Quad Power Racing 2</t>
  </si>
  <si>
    <t>Acclaim Entertainment</t>
  </si>
  <si>
    <t>Sonic Mega Collection</t>
  </si>
  <si>
    <t>GC</t>
  </si>
  <si>
    <t>Infogrames</t>
  </si>
  <si>
    <t>The Lord of the Rings: The Fellowship of the Ring</t>
  </si>
  <si>
    <t>Black Label Games</t>
  </si>
  <si>
    <t>Fisherman's Bass Club</t>
  </si>
  <si>
    <t>Agetec</t>
  </si>
  <si>
    <t>Rocky</t>
  </si>
  <si>
    <t>Rage Software</t>
  </si>
  <si>
    <t>Armored Core 3</t>
  </si>
  <si>
    <t>Metro 3D</t>
  </si>
  <si>
    <t>HSX HyperSonic.Xtreme</t>
  </si>
  <si>
    <t>Midas Interactive Entertainment</t>
  </si>
  <si>
    <t>Rygar: The Legendary Adventure</t>
  </si>
  <si>
    <t>Wanadoo</t>
  </si>
  <si>
    <t>The Powerpuff Girls: Relish Rampage</t>
  </si>
  <si>
    <t>BAM! Entertainment</t>
  </si>
  <si>
    <t>Onimusha: Warlords</t>
  </si>
  <si>
    <t>Virgin Interactive</t>
  </si>
  <si>
    <t>Top Gun: Combat Zones</t>
  </si>
  <si>
    <t>Titus</t>
  </si>
  <si>
    <t>Spec Ops: Ranger Elite</t>
  </si>
  <si>
    <t>PS</t>
  </si>
  <si>
    <t>TalonSoft</t>
  </si>
  <si>
    <t>Final Fantasy Chronicles</t>
  </si>
  <si>
    <t>Square</t>
  </si>
  <si>
    <t>Midnight Club: Street Racing</t>
  </si>
  <si>
    <t>Rebellion</t>
  </si>
  <si>
    <t>Army Men World War: Final Front</t>
  </si>
  <si>
    <t>3DO</t>
  </si>
  <si>
    <t>Pachi-Slot Aruze Oukoku 4</t>
  </si>
  <si>
    <t>Aruze Corp</t>
  </si>
  <si>
    <t>Wheel of Fortune: 2nd Edition</t>
  </si>
  <si>
    <t>Hasbro Interactive</t>
  </si>
  <si>
    <t>Driver</t>
  </si>
  <si>
    <t>GT Interactive</t>
  </si>
  <si>
    <t>NFL GameDay 2000</t>
  </si>
  <si>
    <t>989 Studios</t>
  </si>
  <si>
    <t>Tom Clancy's Rainbow Six</t>
  </si>
  <si>
    <t>Red Storm Entertainment</t>
  </si>
  <si>
    <t>Command &amp; Conquer: Tiberian Sun</t>
  </si>
  <si>
    <t>Westwood Studios</t>
  </si>
  <si>
    <t>Derby Stallion 99</t>
  </si>
  <si>
    <t>ASCII Entertainment</t>
  </si>
  <si>
    <t>Worms Armageddon</t>
  </si>
  <si>
    <t>Microprose</t>
  </si>
  <si>
    <t>Final Fantasy Anthology</t>
  </si>
  <si>
    <t>Square EA</t>
  </si>
  <si>
    <t>Croc 2</t>
  </si>
  <si>
    <t>Fox Interactive</t>
  </si>
  <si>
    <t>LEGO Racers</t>
  </si>
  <si>
    <t>N64</t>
  </si>
  <si>
    <t>LEGO Media</t>
  </si>
  <si>
    <t>Medarot 2: Kabuto / Kuwagata Version</t>
  </si>
  <si>
    <t>GB</t>
  </si>
  <si>
    <t>Imagineer</t>
  </si>
  <si>
    <t>Harvest Moon 64</t>
  </si>
  <si>
    <t>Pack In Soft</t>
  </si>
  <si>
    <t>Momotarou Dentetsu V</t>
  </si>
  <si>
    <t>Hudson Entertainment</t>
  </si>
  <si>
    <t>Densha De Go! 2</t>
  </si>
  <si>
    <t>Taito</t>
  </si>
  <si>
    <t>NCAA Final Four 2000</t>
  </si>
  <si>
    <t>989 Sports</t>
  </si>
  <si>
    <t>F-1 World Grand Prix</t>
  </si>
  <si>
    <t>Video System</t>
  </si>
  <si>
    <t>Asteroids</t>
  </si>
  <si>
    <t>Success</t>
  </si>
  <si>
    <t>Animaniacs Ten Pin Alley</t>
  </si>
  <si>
    <t>ASC Games</t>
  </si>
  <si>
    <t>Gex: Enter the Gecko</t>
  </si>
  <si>
    <t>BMG Interactive Entertainment</t>
  </si>
  <si>
    <t>Lunar: Silver Star Story Complete</t>
  </si>
  <si>
    <t>Kadokawa Shoten</t>
  </si>
  <si>
    <t>Rascal</t>
  </si>
  <si>
    <t>Psygnosis</t>
  </si>
  <si>
    <t>JGTC: All-Japan Grand Touring Car Championship</t>
  </si>
  <si>
    <t>TYO</t>
  </si>
  <si>
    <t>'98 Koshien</t>
  </si>
  <si>
    <t>Magical Company</t>
  </si>
  <si>
    <t>Bakusou Dekotora Densetsu: Otoko Ippiki Yume Kaidoi</t>
  </si>
  <si>
    <t>Human Entertainment</t>
  </si>
  <si>
    <t>Riven: The Sequel to Myst</t>
  </si>
  <si>
    <t>Red Orb</t>
  </si>
  <si>
    <t>Cool Boarders 2</t>
  </si>
  <si>
    <t>UEP Systems</t>
  </si>
  <si>
    <t>Test Drive 5</t>
  </si>
  <si>
    <t>Accolade</t>
  </si>
  <si>
    <t>Mission: Impossible</t>
  </si>
  <si>
    <t>Ocean</t>
  </si>
  <si>
    <t>Puyo Puyo Sun Ketteiban</t>
  </si>
  <si>
    <t>Compile</t>
  </si>
  <si>
    <t>Grandia</t>
  </si>
  <si>
    <t>SAT</t>
  </si>
  <si>
    <t>ESP</t>
  </si>
  <si>
    <t>Top Gear Rally</t>
  </si>
  <si>
    <t>Kemco</t>
  </si>
  <si>
    <t>Tetris Plus</t>
  </si>
  <si>
    <t>JVC</t>
  </si>
  <si>
    <t>SimCity 2000</t>
  </si>
  <si>
    <t>Maxis</t>
  </si>
  <si>
    <t>Star Wars: Rebel Assault II - The Hidden Empire</t>
  </si>
  <si>
    <t>CTO SpA</t>
  </si>
  <si>
    <t>Blood Omen: Legacy of Kain</t>
  </si>
  <si>
    <t>Crystal Dynamics</t>
  </si>
  <si>
    <t>NASCAR Racing</t>
  </si>
  <si>
    <t>Pioneer LDC</t>
  </si>
  <si>
    <t>Triple Play 97</t>
  </si>
  <si>
    <t>Electronic Arts Victor</t>
  </si>
  <si>
    <t>Tactics Ogre: Let Us Cling Together</t>
  </si>
  <si>
    <t>SNES</t>
  </si>
  <si>
    <t>Quest</t>
  </si>
  <si>
    <t>Bases Loaded '96: Double Header</t>
  </si>
  <si>
    <t>Jaleco</t>
  </si>
  <si>
    <t>J-League Excite Stage '95</t>
  </si>
  <si>
    <t>Epoch</t>
  </si>
  <si>
    <t>Fatal Fury Special</t>
  </si>
  <si>
    <t>Takara</t>
  </si>
  <si>
    <t>Mega Man X2</t>
  </si>
  <si>
    <t>Laguna</t>
  </si>
  <si>
    <t>Mortal Kombat</t>
  </si>
  <si>
    <t>GEN</t>
  </si>
  <si>
    <t>Arena Entertainment</t>
  </si>
  <si>
    <t>Teenage Mutant Ninja Turtles</t>
  </si>
  <si>
    <t>NES</t>
  </si>
  <si>
    <t>Palcom</t>
  </si>
  <si>
    <t>Enduro</t>
  </si>
  <si>
    <t>Quelle</t>
  </si>
  <si>
    <t>X-Man</t>
  </si>
  <si>
    <t>Universal Gamex</t>
  </si>
  <si>
    <t>Halloween</t>
  </si>
  <si>
    <t>Wizard Video Games</t>
  </si>
  <si>
    <t>Q*bert</t>
  </si>
  <si>
    <t>Parker Bros.</t>
  </si>
  <si>
    <t>Action Force</t>
  </si>
  <si>
    <t>CPG Products</t>
  </si>
  <si>
    <t>Gauntlet</t>
  </si>
  <si>
    <t>Answer Software</t>
  </si>
  <si>
    <t>Bump 'n' Jump</t>
  </si>
  <si>
    <t>Mattel Interactive</t>
  </si>
  <si>
    <t>Demon Attack</t>
  </si>
  <si>
    <t>Imagic</t>
  </si>
  <si>
    <t>Donkey Kong</t>
  </si>
  <si>
    <t>Coleco</t>
  </si>
  <si>
    <t>Custer's Revenge</t>
  </si>
  <si>
    <t>Mystique</t>
  </si>
  <si>
    <t>Alien</t>
  </si>
  <si>
    <t>20th Century Fox Video Games</t>
  </si>
  <si>
    <t>Air Raid</t>
  </si>
  <si>
    <t>Men-A-Vision</t>
  </si>
  <si>
    <t>King Kong</t>
  </si>
  <si>
    <t>Tigervision</t>
  </si>
  <si>
    <t>Airlock</t>
  </si>
  <si>
    <t>Data Age</t>
  </si>
  <si>
    <t>Año</t>
  </si>
  <si>
    <t>Nombre</t>
  </si>
  <si>
    <t>Plataforma</t>
  </si>
  <si>
    <t>Genero</t>
  </si>
  <si>
    <t>Editorial</t>
  </si>
  <si>
    <t>Porcentaje</t>
  </si>
  <si>
    <t>Ventas EU</t>
  </si>
  <si>
    <t>Ventas USA</t>
  </si>
  <si>
    <t>Ventas AL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</si>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</sst>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0" borderId="17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2" fillId="0" borderId="18" xfId="0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3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800]dddd\,\ mmmm\ dd\,\ yyyy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acher Sergio" refreshedDate="46093.64503634259" createdVersion="8" refreshedVersion="8" minRefreshableVersion="3" recordCount="195" xr:uid="{110D1B09-C438-4CF9-92C3-1DF269D2D8B1}">
  <cacheSource type="worksheet">
    <worksheetSource name="Ventas_Videojuegos"/>
  </cacheSource>
  <cacheFields count="11">
    <cacheField name="Año" numFmtId="164">
      <sharedItems containsSemiMixedTypes="0" containsNonDate="0" containsDate="1" containsString="0" minDate="2022-06-03T00:00:00" maxDate="2022-07-09T00:00:00" count="28">
        <d v="2022-07-08T00:00:00"/>
        <d v="2022-07-07T00:00:00"/>
        <d v="2022-07-06T00:00:00"/>
        <d v="2022-07-05T00:00:00"/>
        <d v="2022-07-04T00:00:00"/>
        <d v="2022-07-03T00:00:00"/>
        <d v="2022-07-02T00:00:00"/>
        <d v="2022-07-01T00:00:00"/>
        <d v="2022-06-30T00:00:00"/>
        <d v="2022-06-29T00:00:00"/>
        <d v="2022-06-28T00:00:00"/>
        <d v="2022-06-27T00:00:00"/>
        <d v="2022-06-26T00:00:00"/>
        <d v="2022-06-25T00:00:00"/>
        <d v="2022-06-24T00:00:00"/>
        <d v="2022-06-23T00:00:00"/>
        <d v="2022-06-22T00:00:00"/>
        <d v="2022-06-21T00:00:00"/>
        <d v="2022-06-20T00:00:00"/>
        <d v="2022-06-19T00:00:00"/>
        <d v="2022-06-18T00:00:00"/>
        <d v="2022-06-17T00:00:00"/>
        <d v="2022-06-16T00:00:00"/>
        <d v="2022-06-15T00:00:00"/>
        <d v="2022-06-14T00:00:00"/>
        <d v="2022-06-11T00:00:00"/>
        <d v="2022-06-04T00:00:00"/>
        <d v="2022-06-03T00:00:00"/>
      </sharedItems>
      <fieldGroup par="10"/>
    </cacheField>
    <cacheField name="Nombre" numFmtId="0">
      <sharedItems count="190">
        <s v="FIFA 17"/>
        <s v="Uncharted 4: A Thief's End"/>
        <s v="Tom Clancy's The Division"/>
        <s v="Overwatch"/>
        <s v="No Man's Sky"/>
        <s v="Dark Souls III"/>
        <s v="Doom (2016)"/>
        <s v="Yokai Watch 3"/>
        <s v="NBA 2K17"/>
        <s v="The Legend of Zelda: Twilight Princess HD"/>
        <s v="Street Fighter V"/>
        <s v="LEGO Marvel's Avengers"/>
        <s v="Dragon Quest Monsters Joker 3"/>
        <s v="Quantum Break"/>
        <s v="Metal Gear Solid V: The Phantom Pain"/>
        <s v="Until Dawn"/>
        <s v="Project CARS"/>
        <s v="Minecraft: Story Mode"/>
        <s v="Monster Strike 3DS"/>
        <s v="Disney Infinity 3.0"/>
        <s v="F1 2015"/>
        <s v="Farming Simulator 2015"/>
        <s v="Persona 4: Dancing All Night"/>
        <s v="Rock Band 4"/>
        <s v="Alien: Isolation"/>
        <s v="Metro: Last Light"/>
        <s v="Sniper Elite 3"/>
        <s v="MLB 14: The Show"/>
        <s v="World of Warcraft: Warlords of Draenor"/>
        <s v="The Walking Dead: Season One"/>
        <s v="Puzzle &amp; Dragons"/>
        <s v="Dynasty Warriors 8"/>
        <s v="Shin Megami Tensei IV"/>
        <s v="Defiance"/>
        <s v="Hometown Story"/>
        <s v="Attack on Titan: Humanity in Chains"/>
        <s v="Guild Wars 2"/>
        <s v="WWE '13"/>
        <s v="Harvest Moon 3D: A New Beginning"/>
        <s v="Rune Factory 4"/>
        <s v="Zumba Fitness 2"/>
        <s v="Portal 2"/>
        <s v="LEGO Star Wars III: The Clone Wars"/>
        <s v="Plants vs. Zombies"/>
        <s v="Final Fantasy Type-0"/>
        <s v="Sniper: Ghost Warrior"/>
        <s v="Country Dance"/>
        <s v="Warriors Orochi 3"/>
        <s v="DC Universe Online"/>
        <s v="Country Dance 2"/>
        <s v="Tetris Axis"/>
        <s v="Dai-2-Ji Super Robot Taisen Z: Hakai-hen"/>
        <s v="Shin Megami Tensei: Devil Survivor Overclocked"/>
        <s v="Dance Central"/>
        <s v="Harvest Moon: The Tale of Two Towns"/>
        <s v="Despicable Me: The Game - Minion Mayhem"/>
        <s v="We Sing Encore"/>
        <s v="Deer Drive"/>
        <s v="BlazBlue: Continuum Shift"/>
        <s v="Get Fit with Mel B"/>
        <s v="Batman: Arkham Asylum"/>
        <s v="Wipeout: The Game"/>
        <s v="Cabela's Big Game Hunter 2010"/>
        <s v="Deal or No Deal"/>
        <s v="Ghostbusters: The Video Game"/>
        <s v="Deca Sports 2"/>
        <s v="Hidden Objects: Mystery Stories"/>
        <s v="Real Heroes: Firefighter"/>
        <s v="Major League Baseball 2K9"/>
        <s v="3D Dot Game Heroes"/>
        <s v="50 Classic Games"/>
        <s v="Bass Pro Shops: The Strike"/>
        <s v="Jump Start Pet Rescue"/>
        <s v="999: Nine Hours, Nine Persons, Nine Doors"/>
        <s v="My Virtual Tutor: Reading Adventure First to Second Grade"/>
        <s v="Junior Classic Games"/>
        <s v="Peppa Pig: The Game"/>
        <s v="Mortal Kombat vs. DC Universe"/>
        <s v="My Baby Girl"/>
        <s v="Turok"/>
        <s v="The Legend of Spyro: Dawn of the Dragon"/>
        <s v="System 3 presents Ferrari Challenge Trofeo Pirelli"/>
        <s v="Hello Kitty: Big City Dreams"/>
        <s v="Way of the Samurai 3"/>
        <s v="Ultimate I Spy"/>
        <s v="Ford Racing Off Road"/>
        <s v="Winter Sports 2: The Next Challenge"/>
        <s v="Naruto: Clash of Ninja Revolution 2"/>
        <s v="Shrek / Shrek 2 2-in-1 Gameboy Advance Video"/>
        <s v="Worldwide Soccer Manager 2008"/>
        <s v="Guitar Hero Encore: Rocks The 80s"/>
        <s v="Build-A-Bear Workshop"/>
        <s v="Crayola: Treasure Adventures"/>
        <s v="Solitaire Overload"/>
        <s v="World Championship Poker: Featuring Howard Lederer - All In"/>
        <s v="Parfait: Chocolat Second Style"/>
        <s v="Zaidan Houjin Nippon Kanji Nouryoko Kentei Kyoukai Kounin: KanKen DS"/>
        <s v="Zaidan Houjin Nippon Kanji Nouryoku Kentei Kyoukai Koushiki Soft: 200 Mannin no KanKen: Tokoton Kanji Nou"/>
        <s v="Delta Force: Black Hawk Down"/>
        <s v="Suzuki TT Superbikes"/>
        <s v="The Cat in the Hat"/>
        <s v="Dragon Quest V: Tenkuu no Hanayome"/>
        <s v="ESPN NBA 2K5"/>
        <s v="Corvette"/>
        <s v="Jissen Pachi-Slot Hisshouhou: Hokuto no Ken"/>
        <s v="World Championship Poker"/>
        <s v="Mafia"/>
        <s v="Baldur's Gate: Dark Alliance II"/>
        <s v="Dora the Explorer: Super Spies"/>
        <s v="Ms. Pac-Man Maze Madness"/>
        <s v="Derby Stallion 04"/>
        <s v="Conflict: Vietnam"/>
        <s v="High Rollers Casino"/>
        <s v="Final Fantasy Tactics Advance"/>
        <s v="Hulk"/>
        <s v="Tokyo Xtreme Racer 3"/>
        <s v="ATV Quad Power Racing 2"/>
        <s v="Sonic Mega Collection"/>
        <s v="The Lord of the Rings: The Fellowship of the Ring"/>
        <s v="Fisherman's Bass Club"/>
        <s v="Rocky"/>
        <s v="Armored Core 3"/>
        <s v="HSX HyperSonic.Xtreme"/>
        <s v="Rygar: The Legendary Adventure"/>
        <s v="The Powerpuff Girls: Relish Rampage"/>
        <s v="Onimusha: Warlords"/>
        <s v="Top Gun: Combat Zones"/>
        <s v="Spec Ops: Ranger Elite"/>
        <s v="Final Fantasy Chronicles"/>
        <s v="Midnight Club: Street Racing"/>
        <s v="Army Men World War: Final Front"/>
        <s v="Pachi-Slot Aruze Oukoku 4"/>
        <s v="Wheel of Fortune: 2nd Edition"/>
        <s v="Driver"/>
        <s v="NFL GameDay 2000"/>
        <s v="Tom Clancy's Rainbow Six"/>
        <s v="Command &amp; Conquer: Tiberian Sun"/>
        <s v="Derby Stallion 99"/>
        <s v="Worms Armageddon"/>
        <s v="Final Fantasy Anthology"/>
        <s v="Croc 2"/>
        <s v="LEGO Racers"/>
        <s v="Medarot 2: Kabuto / Kuwagata Version"/>
        <s v="Harvest Moon 64"/>
        <s v="Momotarou Dentetsu V"/>
        <s v="Densha De Go! 2"/>
        <s v="NCAA Final Four 2000"/>
        <s v="F-1 World Grand Prix"/>
        <s v="Asteroids"/>
        <s v="Animaniacs Ten Pin Alley"/>
        <s v="Gex: Enter the Gecko"/>
        <s v="Lunar: Silver Star Story Complete"/>
        <s v="Rascal"/>
        <s v="JGTC: All-Japan Grand Touring Car Championship"/>
        <s v="'98 Koshien"/>
        <s v="Bakusou Dekotora Densetsu: Otoko Ippiki Yume Kaidoi"/>
        <s v="Riven: The Sequel to Myst"/>
        <s v="Cool Boarders 2"/>
        <s v="Test Drive 5"/>
        <s v="Mission: Impossible"/>
        <s v="Puyo Puyo Sun Ketteiban"/>
        <s v="Grandia"/>
        <s v="Top Gear Rally"/>
        <s v="Tetris Plus"/>
        <s v="SimCity 2000"/>
        <s v="Star Wars: Rebel Assault II - The Hidden Empire"/>
        <s v="Blood Omen: Legacy of Kain"/>
        <s v="NASCAR Racing"/>
        <s v="Triple Play 97"/>
        <s v="Tactics Ogre: Let Us Cling Together"/>
        <s v="Bases Loaded '96: Double Header"/>
        <s v="J-League Excite Stage '95"/>
        <s v="Fatal Fury Special"/>
        <s v="Mega Man X2"/>
        <s v="Mortal Kombat"/>
        <s v="Teenage Mutant Ninja Turtles"/>
        <s v="Enduro"/>
        <s v="X-Man"/>
        <s v="Halloween"/>
        <s v="Q*bert"/>
        <s v="Action Force"/>
        <s v="Gauntlet"/>
        <s v="Bump 'n' Jump"/>
        <s v="Demon Attack"/>
        <s v="Donkey Kong"/>
        <s v="Custer's Revenge"/>
        <s v="Alien"/>
        <s v="Air Raid"/>
        <s v="King Kong"/>
        <s v="Airlock"/>
      </sharedItems>
    </cacheField>
    <cacheField name="Plataforma" numFmtId="0">
      <sharedItems containsMixedTypes="1" containsNumber="1" containsInteger="1" minValue="2600" maxValue="2600" count="23">
        <s v="PS4"/>
        <s v="3DS"/>
        <s v="WiiU"/>
        <s v="XOne"/>
        <s v="X360"/>
        <s v="PS3"/>
        <s v="PSV"/>
        <s v="PC"/>
        <s v="Wii"/>
        <s v="DS"/>
        <s v="PSP"/>
        <s v="GBA"/>
        <s v="PS2"/>
        <s v="XB"/>
        <s v="GC"/>
        <s v="PS"/>
        <s v="N64"/>
        <s v="GB"/>
        <s v="SAT"/>
        <s v="SNES"/>
        <s v="GEN"/>
        <s v="NES"/>
        <n v="2600"/>
      </sharedItems>
    </cacheField>
    <cacheField name="Genero" numFmtId="0">
      <sharedItems count="12">
        <s v="Sports"/>
        <s v="Shooter"/>
        <s v="Action"/>
        <s v="Role-Playing"/>
        <s v="Fighting"/>
        <s v="Adventure"/>
        <s v="Racing"/>
        <s v="Simulation"/>
        <s v="Misc"/>
        <s v="Strategy"/>
        <s v="Puzzle"/>
        <s v="Platform"/>
      </sharedItems>
    </cacheField>
    <cacheField name="Editorial" numFmtId="0">
      <sharedItems/>
    </cacheField>
    <cacheField name="Porcentaje" numFmtId="0">
      <sharedItems containsSemiMixedTypes="0" containsString="0" containsNumber="1" minValue="0" maxValue="3.75"/>
    </cacheField>
    <cacheField name="Ventas EU" numFmtId="0">
      <sharedItems containsSemiMixedTypes="0" containsString="0" containsNumber="1" minValue="0" maxValue="1.65"/>
    </cacheField>
    <cacheField name="Ventas USA" numFmtId="0">
      <sharedItems containsSemiMixedTypes="0" containsString="0" containsNumber="1" minValue="0" maxValue="0.69"/>
    </cacheField>
    <cacheField name="Ventas AL" numFmtId="0">
      <sharedItems containsSemiMixedTypes="0" containsString="0" containsNumber="1" minValue="0" maxValue="0.69"/>
    </cacheField>
    <cacheField name="Days (Año)" numFmtId="0" databaseField="0">
      <fieldGroup base="0">
        <rangePr groupBy="days" startDate="2022-06-03T00:00:00" endDate="2022-07-09T00:00:00"/>
        <groupItems count="368">
          <s v="&lt;6/3/20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9/2022"/>
        </groupItems>
      </fieldGroup>
    </cacheField>
    <cacheField name="Months (Año)" numFmtId="0" databaseField="0">
      <fieldGroup base="0">
        <rangePr groupBy="months" startDate="2022-06-03T00:00:00" endDate="2022-07-09T00:00:00"/>
        <groupItems count="14">
          <s v="&lt;6/3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9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x v="0"/>
    <x v="0"/>
    <x v="0"/>
    <s v="Electronic Arts"/>
    <n v="3.75"/>
    <n v="0.06"/>
    <n v="0.69"/>
    <n v="0.69"/>
  </r>
  <r>
    <x v="0"/>
    <x v="1"/>
    <x v="0"/>
    <x v="1"/>
    <s v="Sony Computer Entertainment"/>
    <n v="2.0699999999999998"/>
    <n v="0.18"/>
    <n v="0.65"/>
    <n v="0.65"/>
  </r>
  <r>
    <x v="0"/>
    <x v="2"/>
    <x v="0"/>
    <x v="1"/>
    <s v="Ubisoft"/>
    <n v="1.61"/>
    <n v="0.15"/>
    <n v="0.56999999999999995"/>
    <n v="0.56999999999999995"/>
  </r>
  <r>
    <x v="0"/>
    <x v="3"/>
    <x v="0"/>
    <x v="1"/>
    <s v="Activision"/>
    <n v="0.68"/>
    <n v="0.14000000000000001"/>
    <n v="0.26"/>
    <n v="0.26"/>
  </r>
  <r>
    <x v="0"/>
    <x v="4"/>
    <x v="0"/>
    <x v="2"/>
    <s v="Hello Games"/>
    <n v="0.74"/>
    <n v="0.02"/>
    <n v="0.26"/>
    <n v="0.26"/>
  </r>
  <r>
    <x v="0"/>
    <x v="5"/>
    <x v="0"/>
    <x v="3"/>
    <s v="Namco Bandai Games"/>
    <n v="0.44"/>
    <n v="0.33"/>
    <n v="0.21"/>
    <n v="0.21"/>
  </r>
  <r>
    <x v="0"/>
    <x v="6"/>
    <x v="0"/>
    <x v="1"/>
    <s v="Bethesda Softworks"/>
    <n v="0.66"/>
    <n v="0.02"/>
    <n v="0.22"/>
    <n v="0.22"/>
  </r>
  <r>
    <x v="0"/>
    <x v="7"/>
    <x v="1"/>
    <x v="2"/>
    <s v="Level 5"/>
    <n v="0"/>
    <n v="1.27"/>
    <n v="0"/>
    <n v="0"/>
  </r>
  <r>
    <x v="0"/>
    <x v="8"/>
    <x v="0"/>
    <x v="0"/>
    <s v="Take-Two Interactive"/>
    <n v="0.14000000000000001"/>
    <n v="0"/>
    <n v="0.22"/>
    <n v="0.22"/>
  </r>
  <r>
    <x v="0"/>
    <x v="9"/>
    <x v="2"/>
    <x v="2"/>
    <s v="Nintendo"/>
    <n v="0.3"/>
    <n v="0.08"/>
    <n v="0.08"/>
    <n v="0.08"/>
  </r>
  <r>
    <x v="0"/>
    <x v="10"/>
    <x v="0"/>
    <x v="4"/>
    <s v="Capcom"/>
    <n v="0.26"/>
    <n v="0.08"/>
    <n v="0.13"/>
    <n v="0.13"/>
  </r>
  <r>
    <x v="0"/>
    <x v="11"/>
    <x v="0"/>
    <x v="2"/>
    <s v="Warner Bros. Interactive Entertainment"/>
    <n v="0.28999999999999998"/>
    <n v="0"/>
    <n v="0.1"/>
    <n v="0.1"/>
  </r>
  <r>
    <x v="0"/>
    <x v="12"/>
    <x v="1"/>
    <x v="3"/>
    <s v="Square Enix"/>
    <n v="0"/>
    <n v="0.63"/>
    <n v="0"/>
    <n v="0"/>
  </r>
  <r>
    <x v="0"/>
    <x v="13"/>
    <x v="3"/>
    <x v="2"/>
    <s v="Microsoft Game Studios"/>
    <n v="0.19"/>
    <n v="0.01"/>
    <n v="0.04"/>
    <n v="0.04"/>
  </r>
  <r>
    <x v="1"/>
    <x v="14"/>
    <x v="0"/>
    <x v="2"/>
    <s v="Konami Digital Entertainment"/>
    <n v="1.35"/>
    <n v="0.48"/>
    <n v="0.47"/>
    <n v="0.47"/>
  </r>
  <r>
    <x v="1"/>
    <x v="15"/>
    <x v="0"/>
    <x v="5"/>
    <s v="Sony Computer Entertainment Europe"/>
    <n v="0.89"/>
    <n v="0.05"/>
    <n v="0.25"/>
    <n v="0.25"/>
  </r>
  <r>
    <x v="1"/>
    <x v="16"/>
    <x v="0"/>
    <x v="6"/>
    <s v="Slightly Mad Studios"/>
    <n v="0.69"/>
    <n v="0.02"/>
    <n v="0.15"/>
    <n v="0.15"/>
  </r>
  <r>
    <x v="1"/>
    <x v="17"/>
    <x v="4"/>
    <x v="5"/>
    <s v="Mojang"/>
    <n v="0.38"/>
    <n v="0"/>
    <n v="0.08"/>
    <n v="0.08"/>
  </r>
  <r>
    <x v="1"/>
    <x v="18"/>
    <x v="1"/>
    <x v="2"/>
    <s v="mixi, Inc"/>
    <n v="0"/>
    <n v="0.86"/>
    <n v="0"/>
    <n v="0"/>
  </r>
  <r>
    <x v="1"/>
    <x v="19"/>
    <x v="0"/>
    <x v="2"/>
    <s v="Disney Interactive Studios"/>
    <n v="0.36"/>
    <n v="0"/>
    <n v="0.11"/>
    <n v="0.11"/>
  </r>
  <r>
    <x v="1"/>
    <x v="20"/>
    <x v="0"/>
    <x v="6"/>
    <s v="Codemasters"/>
    <n v="0.44"/>
    <n v="0.03"/>
    <n v="0.09"/>
    <n v="0.09"/>
  </r>
  <r>
    <x v="1"/>
    <x v="21"/>
    <x v="5"/>
    <x v="7"/>
    <s v="Koch Media"/>
    <n v="0.28000000000000003"/>
    <n v="0"/>
    <n v="7.0000000000000007E-2"/>
    <n v="7.0000000000000007E-2"/>
  </r>
  <r>
    <x v="1"/>
    <x v="22"/>
    <x v="6"/>
    <x v="8"/>
    <s v="Nippon Ichi Software"/>
    <n v="0.1"/>
    <n v="0.15"/>
    <n v="7.0000000000000007E-2"/>
    <n v="7.0000000000000007E-2"/>
  </r>
  <r>
    <x v="1"/>
    <x v="23"/>
    <x v="3"/>
    <x v="8"/>
    <s v="Harmonix Music Systems"/>
    <n v="0.04"/>
    <n v="0"/>
    <n v="0.04"/>
    <n v="0.04"/>
  </r>
  <r>
    <x v="2"/>
    <x v="21"/>
    <x v="7"/>
    <x v="7"/>
    <s v="Focus Home Interactive"/>
    <n v="1.02"/>
    <n v="0"/>
    <n v="0.13"/>
    <n v="0.13"/>
  </r>
  <r>
    <x v="2"/>
    <x v="24"/>
    <x v="0"/>
    <x v="1"/>
    <s v="Sega"/>
    <n v="0.56000000000000005"/>
    <n v="0.04"/>
    <n v="0.19"/>
    <n v="0.19"/>
  </r>
  <r>
    <x v="2"/>
    <x v="25"/>
    <x v="0"/>
    <x v="2"/>
    <s v="Deep Silver"/>
    <n v="0.3"/>
    <n v="0.04"/>
    <n v="0.12"/>
    <n v="0.12"/>
  </r>
  <r>
    <x v="2"/>
    <x v="26"/>
    <x v="0"/>
    <x v="1"/>
    <s v="505 Games"/>
    <n v="0.33"/>
    <n v="0"/>
    <n v="0.13"/>
    <n v="0.13"/>
  </r>
  <r>
    <x v="2"/>
    <x v="27"/>
    <x v="0"/>
    <x v="0"/>
    <s v="Sony Computer Entertainment America"/>
    <n v="0"/>
    <n v="0"/>
    <n v="7.0000000000000007E-2"/>
    <n v="7.0000000000000007E-2"/>
  </r>
  <r>
    <x v="2"/>
    <x v="28"/>
    <x v="7"/>
    <x v="2"/>
    <s v="Activision Blizzard"/>
    <n v="0.36"/>
    <n v="0"/>
    <n v="0.04"/>
    <n v="0.04"/>
  </r>
  <r>
    <x v="2"/>
    <x v="29"/>
    <x v="0"/>
    <x v="5"/>
    <s v="Telltale Games"/>
    <n v="0.25"/>
    <n v="0.01"/>
    <n v="0.08"/>
    <n v="0.08"/>
  </r>
  <r>
    <x v="3"/>
    <x v="30"/>
    <x v="1"/>
    <x v="3"/>
    <s v="GungHo"/>
    <n v="0"/>
    <n v="1.51"/>
    <n v="0"/>
    <n v="0"/>
  </r>
  <r>
    <x v="3"/>
    <x v="31"/>
    <x v="5"/>
    <x v="2"/>
    <s v="Tecmo Koei"/>
    <n v="0.11"/>
    <n v="0.34"/>
    <n v="0.05"/>
    <n v="0.05"/>
  </r>
  <r>
    <x v="3"/>
    <x v="32"/>
    <x v="1"/>
    <x v="3"/>
    <s v="Atlus"/>
    <n v="0"/>
    <n v="0.27"/>
    <n v="0.02"/>
    <n v="0.02"/>
  </r>
  <r>
    <x v="3"/>
    <x v="33"/>
    <x v="4"/>
    <x v="1"/>
    <s v="Trion Worlds"/>
    <n v="0.15"/>
    <n v="0"/>
    <n v="0.04"/>
    <n v="0.04"/>
  </r>
  <r>
    <x v="3"/>
    <x v="34"/>
    <x v="1"/>
    <x v="3"/>
    <s v="Rising Star Games"/>
    <n v="0.13"/>
    <n v="0.04"/>
    <n v="0.04"/>
    <n v="0.04"/>
  </r>
  <r>
    <x v="3"/>
    <x v="35"/>
    <x v="1"/>
    <x v="2"/>
    <s v="Screenlife"/>
    <n v="0"/>
    <n v="0.41"/>
    <n v="0"/>
    <n v="0"/>
  </r>
  <r>
    <x v="4"/>
    <x v="36"/>
    <x v="7"/>
    <x v="2"/>
    <s v="NCSoft"/>
    <n v="1.06"/>
    <n v="0"/>
    <n v="0.28999999999999998"/>
    <n v="0.28999999999999998"/>
  </r>
  <r>
    <x v="4"/>
    <x v="37"/>
    <x v="5"/>
    <x v="2"/>
    <s v="THQ"/>
    <n v="0.62"/>
    <n v="0"/>
    <n v="0.26"/>
    <n v="0.26"/>
  </r>
  <r>
    <x v="4"/>
    <x v="38"/>
    <x v="1"/>
    <x v="2"/>
    <s v="Marvelous Entertainment"/>
    <n v="0.17"/>
    <n v="0.28999999999999998"/>
    <n v="0.05"/>
    <n v="0.05"/>
  </r>
  <r>
    <x v="4"/>
    <x v="29"/>
    <x v="5"/>
    <x v="5"/>
    <s v="Avanquest Software"/>
    <n v="0.25"/>
    <n v="0.03"/>
    <n v="0.11"/>
    <n v="0.11"/>
  </r>
  <r>
    <x v="4"/>
    <x v="39"/>
    <x v="1"/>
    <x v="3"/>
    <s v="Xseed Games"/>
    <n v="0"/>
    <n v="0.21"/>
    <n v="0.03"/>
    <n v="0.03"/>
  </r>
  <r>
    <x v="5"/>
    <x v="40"/>
    <x v="8"/>
    <x v="0"/>
    <s v="Majesco Entertainment"/>
    <n v="1.07"/>
    <n v="0"/>
    <n v="0.28000000000000003"/>
    <n v="0.28000000000000003"/>
  </r>
  <r>
    <x v="5"/>
    <x v="41"/>
    <x v="4"/>
    <x v="1"/>
    <s v="Valve Software"/>
    <n v="0.51"/>
    <n v="0.01"/>
    <n v="0.17"/>
    <n v="0.17"/>
  </r>
  <r>
    <x v="5"/>
    <x v="42"/>
    <x v="8"/>
    <x v="2"/>
    <s v="LucasArts"/>
    <n v="0.66"/>
    <n v="0"/>
    <n v="0.17"/>
    <n v="0.17"/>
  </r>
  <r>
    <x v="5"/>
    <x v="41"/>
    <x v="5"/>
    <x v="1"/>
    <s v="Valve"/>
    <n v="0.63"/>
    <n v="0.02"/>
    <n v="0.25"/>
    <n v="0.25"/>
  </r>
  <r>
    <x v="5"/>
    <x v="43"/>
    <x v="9"/>
    <x v="9"/>
    <s v="Mastertronic"/>
    <n v="0.15"/>
    <n v="0"/>
    <n v="0.08"/>
    <n v="0.08"/>
  </r>
  <r>
    <x v="5"/>
    <x v="44"/>
    <x v="10"/>
    <x v="3"/>
    <s v="Unknown"/>
    <n v="0"/>
    <n v="0.81"/>
    <n v="0"/>
    <n v="0"/>
  </r>
  <r>
    <x v="5"/>
    <x v="45"/>
    <x v="5"/>
    <x v="1"/>
    <s v="City Interactive"/>
    <n v="0.36"/>
    <n v="0.04"/>
    <n v="0.14000000000000001"/>
    <n v="0.14000000000000001"/>
  </r>
  <r>
    <x v="5"/>
    <x v="46"/>
    <x v="8"/>
    <x v="8"/>
    <s v="Funbox Media"/>
    <n v="0.04"/>
    <n v="0"/>
    <n v="0.04"/>
    <n v="0.04"/>
  </r>
  <r>
    <x v="5"/>
    <x v="47"/>
    <x v="5"/>
    <x v="2"/>
    <s v="Ubisoft Annecy"/>
    <n v="0.04"/>
    <n v="0.56999999999999995"/>
    <n v="0.01"/>
    <n v="0.01"/>
  </r>
  <r>
    <x v="5"/>
    <x v="48"/>
    <x v="5"/>
    <x v="3"/>
    <s v="Sony Online Entertainment"/>
    <n v="0.12"/>
    <n v="0"/>
    <n v="0.06"/>
    <n v="0.06"/>
  </r>
  <r>
    <x v="5"/>
    <x v="49"/>
    <x v="8"/>
    <x v="8"/>
    <s v="GameMill Entertainment"/>
    <n v="0"/>
    <n v="0"/>
    <n v="0.03"/>
    <n v="0.03"/>
  </r>
  <r>
    <x v="5"/>
    <x v="50"/>
    <x v="1"/>
    <x v="10"/>
    <s v="Tetris Online"/>
    <n v="0.13"/>
    <n v="0.06"/>
    <n v="0.03"/>
    <n v="0.03"/>
  </r>
  <r>
    <x v="5"/>
    <x v="51"/>
    <x v="10"/>
    <x v="9"/>
    <s v="Banpresto"/>
    <n v="0"/>
    <n v="0.42"/>
    <n v="0"/>
    <n v="0"/>
  </r>
  <r>
    <x v="5"/>
    <x v="52"/>
    <x v="1"/>
    <x v="3"/>
    <s v="Ghostlight"/>
    <n v="0.01"/>
    <n v="0.06"/>
    <n v="0.02"/>
    <n v="0.02"/>
  </r>
  <r>
    <x v="6"/>
    <x v="53"/>
    <x v="4"/>
    <x v="8"/>
    <s v="MTV Games"/>
    <n v="0.77"/>
    <n v="0.01"/>
    <n v="0.26"/>
    <n v="0.26"/>
  </r>
  <r>
    <x v="6"/>
    <x v="54"/>
    <x v="9"/>
    <x v="7"/>
    <s v="Natsume"/>
    <n v="0.06"/>
    <n v="0.22"/>
    <n v="0.03"/>
    <n v="0.03"/>
  </r>
  <r>
    <x v="6"/>
    <x v="55"/>
    <x v="9"/>
    <x v="10"/>
    <s v="D3Publisher"/>
    <n v="0.09"/>
    <n v="0"/>
    <n v="0.04"/>
    <n v="0.04"/>
  </r>
  <r>
    <x v="6"/>
    <x v="56"/>
    <x v="8"/>
    <x v="8"/>
    <s v="Nordic Games"/>
    <n v="0.41"/>
    <n v="0"/>
    <n v="0.06"/>
    <n v="0.06"/>
  </r>
  <r>
    <x v="6"/>
    <x v="57"/>
    <x v="9"/>
    <x v="0"/>
    <s v="Mastiff"/>
    <n v="0"/>
    <n v="0"/>
    <n v="0.02"/>
    <n v="0.02"/>
  </r>
  <r>
    <x v="6"/>
    <x v="58"/>
    <x v="5"/>
    <x v="4"/>
    <s v="PQube"/>
    <n v="0.08"/>
    <n v="0.09"/>
    <n v="0.04"/>
    <n v="0.04"/>
  </r>
  <r>
    <x v="6"/>
    <x v="59"/>
    <x v="5"/>
    <x v="0"/>
    <s v="Black Bean Games"/>
    <n v="0.17"/>
    <n v="0"/>
    <n v="7.0000000000000007E-2"/>
    <n v="7.0000000000000007E-2"/>
  </r>
  <r>
    <x v="7"/>
    <x v="60"/>
    <x v="5"/>
    <x v="2"/>
    <s v="Eidos Interactive"/>
    <n v="1.34"/>
    <n v="7.0000000000000007E-2"/>
    <n v="0.61"/>
    <n v="0.61"/>
  </r>
  <r>
    <x v="7"/>
    <x v="61"/>
    <x v="8"/>
    <x v="8"/>
    <s v="Mindscape"/>
    <n v="0"/>
    <n v="0"/>
    <n v="0.12"/>
    <n v="0.12"/>
  </r>
  <r>
    <x v="7"/>
    <x v="62"/>
    <x v="8"/>
    <x v="0"/>
    <s v="Activision Value"/>
    <n v="0"/>
    <n v="0"/>
    <n v="0.12"/>
    <n v="0.12"/>
  </r>
  <r>
    <x v="7"/>
    <x v="63"/>
    <x v="8"/>
    <x v="8"/>
    <s v="Zoo Games"/>
    <n v="0"/>
    <n v="0"/>
    <n v="0.09"/>
    <n v="0.09"/>
  </r>
  <r>
    <x v="7"/>
    <x v="64"/>
    <x v="8"/>
    <x v="2"/>
    <s v="Atari"/>
    <n v="0.21"/>
    <n v="0"/>
    <n v="0.08"/>
    <n v="0.08"/>
  </r>
  <r>
    <x v="7"/>
    <x v="65"/>
    <x v="8"/>
    <x v="0"/>
    <s v="Hudson Soft"/>
    <n v="0.34"/>
    <n v="0.09"/>
    <n v="7.0000000000000007E-2"/>
    <n v="7.0000000000000007E-2"/>
  </r>
  <r>
    <x v="7"/>
    <x v="57"/>
    <x v="8"/>
    <x v="0"/>
    <s v="Big Ben Interactive"/>
    <n v="0.04"/>
    <n v="0"/>
    <n v="0.05"/>
    <n v="0.05"/>
  </r>
  <r>
    <x v="7"/>
    <x v="66"/>
    <x v="9"/>
    <x v="5"/>
    <s v="GSP"/>
    <n v="0.43"/>
    <n v="0"/>
    <n v="0.05"/>
    <n v="0.05"/>
  </r>
  <r>
    <x v="7"/>
    <x v="67"/>
    <x v="8"/>
    <x v="2"/>
    <s v="Rondomedia"/>
    <n v="0.04"/>
    <n v="0"/>
    <n v="0.05"/>
    <n v="0.05"/>
  </r>
  <r>
    <x v="7"/>
    <x v="68"/>
    <x v="4"/>
    <x v="0"/>
    <s v="Spike"/>
    <n v="0"/>
    <n v="0"/>
    <n v="0.05"/>
    <n v="0.05"/>
  </r>
  <r>
    <x v="7"/>
    <x v="69"/>
    <x v="5"/>
    <x v="3"/>
    <s v="SouthPeak Games"/>
    <n v="0.12"/>
    <n v="0.03"/>
    <n v="7.0000000000000007E-2"/>
    <n v="7.0000000000000007E-2"/>
  </r>
  <r>
    <x v="7"/>
    <x v="70"/>
    <x v="9"/>
    <x v="8"/>
    <s v="Destineer"/>
    <n v="0"/>
    <n v="0"/>
    <n v="0.04"/>
    <n v="0.04"/>
  </r>
  <r>
    <x v="7"/>
    <x v="71"/>
    <x v="8"/>
    <x v="0"/>
    <s v="XS Games"/>
    <n v="0"/>
    <n v="0"/>
    <n v="0.03"/>
    <n v="0.03"/>
  </r>
  <r>
    <x v="7"/>
    <x v="72"/>
    <x v="8"/>
    <x v="8"/>
    <s v="Knowledge Adventure"/>
    <n v="0"/>
    <n v="0"/>
    <n v="0.03"/>
    <n v="0.03"/>
  </r>
  <r>
    <x v="7"/>
    <x v="73"/>
    <x v="9"/>
    <x v="5"/>
    <s v="ChunSoft"/>
    <n v="0"/>
    <n v="0.03"/>
    <n v="0.03"/>
    <n v="0.03"/>
  </r>
  <r>
    <x v="7"/>
    <x v="74"/>
    <x v="9"/>
    <x v="8"/>
    <s v="Mentor Interactive"/>
    <n v="0"/>
    <n v="0"/>
    <n v="0.03"/>
    <n v="0.03"/>
  </r>
  <r>
    <x v="7"/>
    <x v="75"/>
    <x v="9"/>
    <x v="8"/>
    <s v="Avanquest"/>
    <n v="0.09"/>
    <n v="0"/>
    <n v="0.03"/>
    <n v="0.03"/>
  </r>
  <r>
    <x v="7"/>
    <x v="76"/>
    <x v="8"/>
    <x v="8"/>
    <s v="Pinnacle"/>
    <n v="0.35"/>
    <n v="0"/>
    <n v="0.03"/>
    <n v="0.03"/>
  </r>
  <r>
    <x v="8"/>
    <x v="77"/>
    <x v="5"/>
    <x v="4"/>
    <s v="Midway Games"/>
    <n v="0.3"/>
    <n v="0"/>
    <n v="0.22"/>
    <n v="0.22"/>
  </r>
  <r>
    <x v="8"/>
    <x v="78"/>
    <x v="9"/>
    <x v="7"/>
    <s v="Nobilis"/>
    <n v="0.1"/>
    <n v="0"/>
    <n v="0.06"/>
    <n v="0.06"/>
  </r>
  <r>
    <x v="8"/>
    <x v="79"/>
    <x v="4"/>
    <x v="2"/>
    <s v="Touchstone"/>
    <n v="0.21"/>
    <n v="0.01"/>
    <n v="7.0000000000000007E-2"/>
    <n v="7.0000000000000007E-2"/>
  </r>
  <r>
    <x v="8"/>
    <x v="80"/>
    <x v="8"/>
    <x v="11"/>
    <s v="Vivendi Games"/>
    <n v="0.18"/>
    <n v="0"/>
    <n v="0.05"/>
    <n v="0.05"/>
  </r>
  <r>
    <x v="8"/>
    <x v="81"/>
    <x v="8"/>
    <x v="6"/>
    <s v="System 3 Arcade Software"/>
    <n v="0.4"/>
    <n v="0"/>
    <n v="7.0000000000000007E-2"/>
    <n v="7.0000000000000007E-2"/>
  </r>
  <r>
    <x v="8"/>
    <x v="82"/>
    <x v="9"/>
    <x v="10"/>
    <s v="Empire Interactive"/>
    <n v="0.08"/>
    <n v="0"/>
    <n v="0.04"/>
    <n v="0.04"/>
  </r>
  <r>
    <x v="8"/>
    <x v="83"/>
    <x v="5"/>
    <x v="2"/>
    <s v="Gamebridge"/>
    <n v="0.08"/>
    <n v="0.22"/>
    <n v="0.04"/>
    <n v="0.04"/>
  </r>
  <r>
    <x v="8"/>
    <x v="84"/>
    <x v="8"/>
    <x v="5"/>
    <s v="Scholastic Inc."/>
    <n v="0"/>
    <n v="0"/>
    <n v="0.03"/>
    <n v="0.03"/>
  </r>
  <r>
    <x v="8"/>
    <x v="85"/>
    <x v="8"/>
    <x v="6"/>
    <s v="Xplosiv"/>
    <n v="0.4"/>
    <n v="0"/>
    <n v="0.01"/>
    <n v="0.01"/>
  </r>
  <r>
    <x v="8"/>
    <x v="86"/>
    <x v="8"/>
    <x v="0"/>
    <s v="RTL"/>
    <n v="0.19"/>
    <n v="0"/>
    <n v="0.04"/>
    <n v="0.04"/>
  </r>
  <r>
    <x v="8"/>
    <x v="87"/>
    <x v="8"/>
    <x v="4"/>
    <s v="Tomy Corporation"/>
    <n v="0.02"/>
    <n v="0"/>
    <n v="0.03"/>
    <n v="0.03"/>
  </r>
  <r>
    <x v="9"/>
    <x v="88"/>
    <x v="11"/>
    <x v="8"/>
    <s v="N/A"/>
    <n v="0.32"/>
    <n v="0"/>
    <n v="0.02"/>
    <n v="0.02"/>
  </r>
  <r>
    <x v="9"/>
    <x v="89"/>
    <x v="7"/>
    <x v="0"/>
    <s v="Russel"/>
    <n v="1.1200000000000001"/>
    <n v="0"/>
    <n v="0"/>
    <n v="0"/>
  </r>
  <r>
    <x v="9"/>
    <x v="90"/>
    <x v="12"/>
    <x v="8"/>
    <s v="RedOctane"/>
    <n v="0.04"/>
    <n v="0"/>
    <n v="0.15"/>
    <n v="0.15"/>
  </r>
  <r>
    <x v="9"/>
    <x v="91"/>
    <x v="9"/>
    <x v="7"/>
    <s v="Game Factory"/>
    <n v="0.01"/>
    <n v="0"/>
    <n v="7.0000000000000007E-2"/>
    <n v="7.0000000000000007E-2"/>
  </r>
  <r>
    <x v="9"/>
    <x v="92"/>
    <x v="9"/>
    <x v="10"/>
    <s v="Ignition Entertainment"/>
    <n v="0.01"/>
    <n v="0"/>
    <n v="0.03"/>
    <n v="0.03"/>
  </r>
  <r>
    <x v="9"/>
    <x v="93"/>
    <x v="9"/>
    <x v="8"/>
    <s v="Telegames"/>
    <n v="0"/>
    <n v="0"/>
    <n v="0.03"/>
    <n v="0.03"/>
  </r>
  <r>
    <x v="10"/>
    <x v="94"/>
    <x v="12"/>
    <x v="8"/>
    <s v="Oxygen Interactive"/>
    <n v="0.64"/>
    <n v="0"/>
    <n v="0.22"/>
    <n v="0.22"/>
  </r>
  <r>
    <x v="10"/>
    <x v="95"/>
    <x v="12"/>
    <x v="5"/>
    <s v="Alchemist"/>
    <n v="0.46"/>
    <n v="0.01"/>
    <n v="0.15"/>
    <n v="0.15"/>
  </r>
  <r>
    <x v="10"/>
    <x v="96"/>
    <x v="9"/>
    <x v="8"/>
    <s v="Rocket Company"/>
    <n v="0"/>
    <n v="0.67"/>
    <n v="0"/>
    <n v="0"/>
  </r>
  <r>
    <x v="10"/>
    <x v="97"/>
    <x v="9"/>
    <x v="8"/>
    <s v="IE Institute"/>
    <n v="0"/>
    <n v="0.66"/>
    <n v="0"/>
    <n v="0"/>
  </r>
  <r>
    <x v="11"/>
    <x v="98"/>
    <x v="12"/>
    <x v="1"/>
    <s v="NovaLogic"/>
    <n v="0.17"/>
    <n v="0"/>
    <n v="0.06"/>
    <n v="0.06"/>
  </r>
  <r>
    <x v="11"/>
    <x v="99"/>
    <x v="12"/>
    <x v="6"/>
    <s v="Jester Interactive"/>
    <n v="0.01"/>
    <n v="0"/>
    <n v="0.05"/>
    <n v="0.05"/>
  </r>
  <r>
    <x v="11"/>
    <x v="100"/>
    <x v="11"/>
    <x v="11"/>
    <s v="Jack of All Games"/>
    <n v="0.1"/>
    <n v="0"/>
    <n v="0.01"/>
    <n v="0.01"/>
  </r>
  <r>
    <x v="12"/>
    <x v="101"/>
    <x v="12"/>
    <x v="3"/>
    <s v="Enix Corporation"/>
    <n v="0"/>
    <n v="1.65"/>
    <n v="0"/>
    <n v="0"/>
  </r>
  <r>
    <x v="12"/>
    <x v="102"/>
    <x v="12"/>
    <x v="0"/>
    <s v="Global Star"/>
    <n v="0.12"/>
    <n v="0"/>
    <n v="0.21"/>
    <n v="0.21"/>
  </r>
  <r>
    <x v="12"/>
    <x v="103"/>
    <x v="12"/>
    <x v="6"/>
    <s v="TDK Mediactive"/>
    <n v="0.51"/>
    <n v="0"/>
    <n v="0.17"/>
    <n v="0.17"/>
  </r>
  <r>
    <x v="12"/>
    <x v="104"/>
    <x v="12"/>
    <x v="8"/>
    <s v="Sammy Corporation"/>
    <n v="0"/>
    <n v="1"/>
    <n v="0"/>
    <n v="0"/>
  </r>
  <r>
    <x v="12"/>
    <x v="105"/>
    <x v="12"/>
    <x v="8"/>
    <s v="Play It"/>
    <n v="0.03"/>
    <n v="0"/>
    <n v="0.13"/>
    <n v="0.13"/>
  </r>
  <r>
    <x v="12"/>
    <x v="106"/>
    <x v="12"/>
    <x v="2"/>
    <s v="Illusion Softworks"/>
    <n v="0.27"/>
    <n v="0"/>
    <n v="0.09"/>
    <n v="0.09"/>
  </r>
  <r>
    <x v="12"/>
    <x v="107"/>
    <x v="12"/>
    <x v="3"/>
    <s v="Interplay"/>
    <n v="0.26"/>
    <n v="0"/>
    <n v="0.09"/>
    <n v="0.09"/>
  </r>
  <r>
    <x v="12"/>
    <x v="108"/>
    <x v="11"/>
    <x v="11"/>
    <s v="Gotham Games"/>
    <n v="0.16"/>
    <n v="0"/>
    <n v="0.01"/>
    <n v="0.01"/>
  </r>
  <r>
    <x v="12"/>
    <x v="109"/>
    <x v="11"/>
    <x v="10"/>
    <s v="Zoo Digital Publishing"/>
    <n v="0.15"/>
    <n v="0"/>
    <n v="0.01"/>
    <n v="0.01"/>
  </r>
  <r>
    <x v="12"/>
    <x v="110"/>
    <x v="12"/>
    <x v="0"/>
    <s v="Enterbrain"/>
    <n v="0"/>
    <n v="0.55000000000000004"/>
    <n v="0"/>
    <n v="0"/>
  </r>
  <r>
    <x v="12"/>
    <x v="111"/>
    <x v="12"/>
    <x v="1"/>
    <s v="SCi"/>
    <n v="0.2"/>
    <n v="0"/>
    <n v="7.0000000000000007E-2"/>
    <n v="7.0000000000000007E-2"/>
  </r>
  <r>
    <x v="12"/>
    <x v="105"/>
    <x v="13"/>
    <x v="8"/>
    <s v="Crave Entertainment"/>
    <n v="0.11"/>
    <n v="0"/>
    <n v="0.02"/>
    <n v="0.02"/>
  </r>
  <r>
    <x v="12"/>
    <x v="112"/>
    <x v="12"/>
    <x v="8"/>
    <s v="Mud Duck Productions"/>
    <n v="0.16"/>
    <n v="0"/>
    <n v="0.05"/>
    <n v="0.05"/>
  </r>
  <r>
    <x v="13"/>
    <x v="113"/>
    <x v="11"/>
    <x v="3"/>
    <s v="SquareSoft"/>
    <n v="0.37"/>
    <n v="0.89"/>
    <n v="0.05"/>
    <n v="0.05"/>
  </r>
  <r>
    <x v="13"/>
    <x v="114"/>
    <x v="12"/>
    <x v="2"/>
    <s v="Universal Interactive"/>
    <n v="0.41"/>
    <n v="0"/>
    <n v="0.14000000000000001"/>
    <n v="0.14000000000000001"/>
  </r>
  <r>
    <x v="13"/>
    <x v="115"/>
    <x v="12"/>
    <x v="6"/>
    <s v="Genki"/>
    <n v="0.27"/>
    <n v="0.21"/>
    <n v="0.09"/>
    <n v="0.09"/>
  </r>
  <r>
    <x v="13"/>
    <x v="116"/>
    <x v="12"/>
    <x v="6"/>
    <s v="Acclaim Entertainment"/>
    <n v="0.32"/>
    <n v="0"/>
    <n v="0.11"/>
    <n v="0.11"/>
  </r>
  <r>
    <x v="14"/>
    <x v="117"/>
    <x v="14"/>
    <x v="8"/>
    <s v="Infogrames"/>
    <n v="0.48"/>
    <n v="0.05"/>
    <n v="0.06"/>
    <n v="0.06"/>
  </r>
  <r>
    <x v="14"/>
    <x v="118"/>
    <x v="12"/>
    <x v="2"/>
    <s v="Black Label Games"/>
    <n v="0.46"/>
    <n v="0"/>
    <n v="0.15"/>
    <n v="0.15"/>
  </r>
  <r>
    <x v="14"/>
    <x v="119"/>
    <x v="12"/>
    <x v="0"/>
    <s v="Agetec"/>
    <n v="0.41"/>
    <n v="0"/>
    <n v="0.14000000000000001"/>
    <n v="0.14000000000000001"/>
  </r>
  <r>
    <x v="14"/>
    <x v="120"/>
    <x v="12"/>
    <x v="4"/>
    <s v="Rage Software"/>
    <n v="0.33"/>
    <n v="0"/>
    <n v="0.11"/>
    <n v="0.11"/>
  </r>
  <r>
    <x v="14"/>
    <x v="121"/>
    <x v="12"/>
    <x v="7"/>
    <s v="Metro 3D"/>
    <n v="0.17"/>
    <n v="0.23"/>
    <n v="0.06"/>
    <n v="0.06"/>
  </r>
  <r>
    <x v="14"/>
    <x v="122"/>
    <x v="12"/>
    <x v="6"/>
    <s v="Midas Interactive Entertainment"/>
    <n v="0.2"/>
    <n v="0"/>
    <n v="7.0000000000000007E-2"/>
    <n v="7.0000000000000007E-2"/>
  </r>
  <r>
    <x v="14"/>
    <x v="123"/>
    <x v="12"/>
    <x v="2"/>
    <s v="Wanadoo"/>
    <n v="0.15"/>
    <n v="0.06"/>
    <n v="0.05"/>
    <n v="0.05"/>
  </r>
  <r>
    <x v="14"/>
    <x v="124"/>
    <x v="12"/>
    <x v="2"/>
    <s v="BAM! Entertainment"/>
    <n v="0.17"/>
    <n v="0"/>
    <n v="0.06"/>
    <n v="0.06"/>
  </r>
  <r>
    <x v="15"/>
    <x v="125"/>
    <x v="12"/>
    <x v="2"/>
    <s v="Virgin Interactive"/>
    <n v="0.48"/>
    <n v="1.0900000000000001"/>
    <n v="0.14000000000000001"/>
    <n v="0.14000000000000001"/>
  </r>
  <r>
    <x v="15"/>
    <x v="126"/>
    <x v="12"/>
    <x v="7"/>
    <s v="Titus"/>
    <n v="0.35"/>
    <n v="0"/>
    <n v="0.12"/>
    <n v="0.12"/>
  </r>
  <r>
    <x v="15"/>
    <x v="127"/>
    <x v="15"/>
    <x v="1"/>
    <s v="TalonSoft"/>
    <n v="0.33"/>
    <n v="0"/>
    <n v="0.06"/>
    <n v="0.06"/>
  </r>
  <r>
    <x v="15"/>
    <x v="128"/>
    <x v="15"/>
    <x v="3"/>
    <s v="Square"/>
    <n v="0.2"/>
    <n v="0"/>
    <n v="0.03"/>
    <n v="0.03"/>
  </r>
  <r>
    <x v="15"/>
    <x v="129"/>
    <x v="11"/>
    <x v="6"/>
    <s v="Rebellion"/>
    <n v="0.13"/>
    <n v="0"/>
    <n v="0.01"/>
    <n v="0.01"/>
  </r>
  <r>
    <x v="15"/>
    <x v="130"/>
    <x v="15"/>
    <x v="2"/>
    <s v="3DO"/>
    <n v="0.17"/>
    <n v="0"/>
    <n v="0.03"/>
    <n v="0.03"/>
  </r>
  <r>
    <x v="16"/>
    <x v="131"/>
    <x v="15"/>
    <x v="8"/>
    <s v="Aruze Corp"/>
    <n v="0"/>
    <n v="0.49"/>
    <n v="0.03"/>
    <n v="0.03"/>
  </r>
  <r>
    <x v="16"/>
    <x v="132"/>
    <x v="15"/>
    <x v="8"/>
    <s v="Hasbro Interactive"/>
    <n v="0.16"/>
    <n v="0"/>
    <n v="0.03"/>
    <n v="0.03"/>
  </r>
  <r>
    <x v="17"/>
    <x v="133"/>
    <x v="15"/>
    <x v="2"/>
    <s v="GT Interactive"/>
    <n v="2.8"/>
    <n v="0.02"/>
    <n v="0.33"/>
    <n v="0.33"/>
  </r>
  <r>
    <x v="17"/>
    <x v="134"/>
    <x v="15"/>
    <x v="0"/>
    <s v="989 Studios"/>
    <n v="0.68"/>
    <n v="0"/>
    <n v="0.12"/>
    <n v="0.12"/>
  </r>
  <r>
    <x v="17"/>
    <x v="135"/>
    <x v="15"/>
    <x v="1"/>
    <s v="Red Storm Entertainment"/>
    <n v="0.63"/>
    <n v="0"/>
    <n v="0.08"/>
    <n v="0.08"/>
  </r>
  <r>
    <x v="17"/>
    <x v="136"/>
    <x v="7"/>
    <x v="9"/>
    <s v="Westwood Studios"/>
    <n v="0"/>
    <n v="0"/>
    <n v="0"/>
    <n v="0"/>
  </r>
  <r>
    <x v="17"/>
    <x v="137"/>
    <x v="15"/>
    <x v="0"/>
    <s v="ASCII Entertainment"/>
    <n v="0"/>
    <n v="1.06"/>
    <n v="7.0000000000000007E-2"/>
    <n v="7.0000000000000007E-2"/>
  </r>
  <r>
    <x v="17"/>
    <x v="138"/>
    <x v="15"/>
    <x v="9"/>
    <s v="Microprose"/>
    <n v="0.81"/>
    <n v="0"/>
    <n v="0.08"/>
    <n v="0.08"/>
  </r>
  <r>
    <x v="17"/>
    <x v="139"/>
    <x v="15"/>
    <x v="3"/>
    <s v="Square EA"/>
    <n v="0.3"/>
    <n v="0"/>
    <n v="0.05"/>
    <n v="0.05"/>
  </r>
  <r>
    <x v="17"/>
    <x v="140"/>
    <x v="15"/>
    <x v="11"/>
    <s v="Fox Interactive"/>
    <n v="0.28000000000000003"/>
    <n v="0"/>
    <n v="0.05"/>
    <n v="0.05"/>
  </r>
  <r>
    <x v="17"/>
    <x v="141"/>
    <x v="16"/>
    <x v="6"/>
    <s v="LEGO Media"/>
    <n v="0.18"/>
    <n v="0"/>
    <n v="0.01"/>
    <n v="0.01"/>
  </r>
  <r>
    <x v="17"/>
    <x v="142"/>
    <x v="17"/>
    <x v="3"/>
    <s v="Imagineer"/>
    <n v="0"/>
    <n v="0.54"/>
    <n v="0"/>
    <n v="0"/>
  </r>
  <r>
    <x v="17"/>
    <x v="143"/>
    <x v="16"/>
    <x v="7"/>
    <s v="Pack In Soft"/>
    <n v="0.06"/>
    <n v="0.11"/>
    <n v="0.06"/>
    <n v="0.06"/>
  </r>
  <r>
    <x v="17"/>
    <x v="144"/>
    <x v="15"/>
    <x v="8"/>
    <s v="Hudson Entertainment"/>
    <n v="0"/>
    <n v="0.44"/>
    <n v="0.03"/>
    <n v="0.03"/>
  </r>
  <r>
    <x v="17"/>
    <x v="145"/>
    <x v="15"/>
    <x v="7"/>
    <s v="Taito"/>
    <n v="0"/>
    <n v="0.38"/>
    <n v="0.03"/>
    <n v="0.03"/>
  </r>
  <r>
    <x v="17"/>
    <x v="146"/>
    <x v="15"/>
    <x v="0"/>
    <s v="989 Sports"/>
    <n v="0.14000000000000001"/>
    <n v="0"/>
    <n v="0.02"/>
    <n v="0.02"/>
  </r>
  <r>
    <x v="18"/>
    <x v="147"/>
    <x v="16"/>
    <x v="6"/>
    <s v="Video System"/>
    <n v="0.96"/>
    <n v="0.09"/>
    <n v="0.08"/>
    <n v="0.08"/>
  </r>
  <r>
    <x v="18"/>
    <x v="148"/>
    <x v="15"/>
    <x v="1"/>
    <s v="Success"/>
    <n v="0.43"/>
    <n v="0"/>
    <n v="7.0000000000000007E-2"/>
    <n v="7.0000000000000007E-2"/>
  </r>
  <r>
    <x v="18"/>
    <x v="149"/>
    <x v="15"/>
    <x v="0"/>
    <s v="ASC Games"/>
    <n v="0.25"/>
    <n v="0"/>
    <n v="0.04"/>
    <n v="0.04"/>
  </r>
  <r>
    <x v="18"/>
    <x v="150"/>
    <x v="15"/>
    <x v="11"/>
    <s v="BMG Interactive Entertainment"/>
    <n v="0.22"/>
    <n v="0"/>
    <n v="0.04"/>
    <n v="0.04"/>
  </r>
  <r>
    <x v="18"/>
    <x v="151"/>
    <x v="15"/>
    <x v="3"/>
    <s v="Kadokawa Shoten"/>
    <n v="0.18"/>
    <n v="0.06"/>
    <n v="0.04"/>
    <n v="0.04"/>
  </r>
  <r>
    <x v="18"/>
    <x v="152"/>
    <x v="15"/>
    <x v="2"/>
    <s v="Psygnosis"/>
    <n v="0.16"/>
    <n v="0"/>
    <n v="0.03"/>
    <n v="0.03"/>
  </r>
  <r>
    <x v="18"/>
    <x v="153"/>
    <x v="15"/>
    <x v="6"/>
    <s v="TYO"/>
    <n v="0.16"/>
    <n v="0"/>
    <n v="0.03"/>
    <n v="0.03"/>
  </r>
  <r>
    <x v="18"/>
    <x v="154"/>
    <x v="15"/>
    <x v="0"/>
    <s v="Magical Company"/>
    <n v="0.1"/>
    <n v="0.12"/>
    <n v="0.03"/>
    <n v="0.03"/>
  </r>
  <r>
    <x v="18"/>
    <x v="155"/>
    <x v="15"/>
    <x v="6"/>
    <s v="Human Entertainment"/>
    <n v="0"/>
    <n v="0.36"/>
    <n v="0.03"/>
    <n v="0.03"/>
  </r>
  <r>
    <x v="19"/>
    <x v="156"/>
    <x v="7"/>
    <x v="5"/>
    <s v="Red Orb"/>
    <n v="0.82"/>
    <n v="0"/>
    <n v="0.1"/>
    <n v="0.1"/>
  </r>
  <r>
    <x v="19"/>
    <x v="157"/>
    <x v="15"/>
    <x v="0"/>
    <s v="UEP Systems"/>
    <n v="0.46"/>
    <n v="0.2"/>
    <n v="0.08"/>
    <n v="0.08"/>
  </r>
  <r>
    <x v="19"/>
    <x v="158"/>
    <x v="15"/>
    <x v="6"/>
    <s v="Accolade"/>
    <n v="0.2"/>
    <n v="0"/>
    <n v="0.05"/>
    <n v="0.05"/>
  </r>
  <r>
    <x v="19"/>
    <x v="159"/>
    <x v="16"/>
    <x v="2"/>
    <s v="Ocean"/>
    <n v="0.38"/>
    <n v="0.02"/>
    <n v="0.03"/>
    <n v="0.03"/>
  </r>
  <r>
    <x v="19"/>
    <x v="160"/>
    <x v="15"/>
    <x v="10"/>
    <s v="Compile"/>
    <n v="0"/>
    <n v="1.07"/>
    <n v="7.0000000000000007E-2"/>
    <n v="7.0000000000000007E-2"/>
  </r>
  <r>
    <x v="19"/>
    <x v="161"/>
    <x v="18"/>
    <x v="3"/>
    <s v="ESP"/>
    <n v="0"/>
    <n v="0.42"/>
    <n v="0"/>
    <n v="0"/>
  </r>
  <r>
    <x v="19"/>
    <x v="162"/>
    <x v="16"/>
    <x v="6"/>
    <s v="Kemco"/>
    <n v="7.0000000000000007E-2"/>
    <n v="0"/>
    <n v="0"/>
    <n v="0"/>
  </r>
  <r>
    <x v="20"/>
    <x v="163"/>
    <x v="15"/>
    <x v="10"/>
    <s v="JVC"/>
    <n v="0.24"/>
    <n v="0"/>
    <n v="7.0000000000000007E-2"/>
    <n v="7.0000000000000007E-2"/>
  </r>
  <r>
    <x v="20"/>
    <x v="164"/>
    <x v="15"/>
    <x v="7"/>
    <s v="Maxis"/>
    <n v="0.46"/>
    <n v="0"/>
    <n v="0.08"/>
    <n v="0.08"/>
  </r>
  <r>
    <x v="20"/>
    <x v="165"/>
    <x v="15"/>
    <x v="1"/>
    <s v="CTO SpA"/>
    <n v="0.33"/>
    <n v="0"/>
    <n v="0.06"/>
    <n v="0.06"/>
  </r>
  <r>
    <x v="20"/>
    <x v="166"/>
    <x v="15"/>
    <x v="3"/>
    <s v="Crystal Dynamics"/>
    <n v="0.17"/>
    <n v="0"/>
    <n v="0.03"/>
    <n v="0.03"/>
  </r>
  <r>
    <x v="20"/>
    <x v="167"/>
    <x v="15"/>
    <x v="6"/>
    <s v="Pioneer LDC"/>
    <n v="0.16"/>
    <n v="0"/>
    <n v="0.03"/>
    <n v="0.03"/>
  </r>
  <r>
    <x v="20"/>
    <x v="168"/>
    <x v="15"/>
    <x v="0"/>
    <s v="Electronic Arts Victor"/>
    <n v="0.15"/>
    <n v="0"/>
    <n v="0.03"/>
    <n v="0.03"/>
  </r>
  <r>
    <x v="21"/>
    <x v="169"/>
    <x v="19"/>
    <x v="3"/>
    <s v="Quest"/>
    <n v="0"/>
    <n v="0.71"/>
    <n v="0"/>
    <n v="0"/>
  </r>
  <r>
    <x v="21"/>
    <x v="170"/>
    <x v="15"/>
    <x v="0"/>
    <s v="Jaleco"/>
    <n v="0.19"/>
    <n v="0"/>
    <n v="0.03"/>
    <n v="0.03"/>
  </r>
  <r>
    <x v="21"/>
    <x v="171"/>
    <x v="19"/>
    <x v="0"/>
    <s v="Epoch"/>
    <n v="0"/>
    <n v="0.45"/>
    <n v="0"/>
    <n v="0"/>
  </r>
  <r>
    <x v="22"/>
    <x v="172"/>
    <x v="19"/>
    <x v="4"/>
    <s v="Takara"/>
    <n v="0"/>
    <n v="0.56000000000000005"/>
    <n v="0"/>
    <n v="0"/>
  </r>
  <r>
    <x v="23"/>
    <x v="173"/>
    <x v="19"/>
    <x v="11"/>
    <s v="Laguna"/>
    <n v="0.02"/>
    <n v="0.45"/>
    <n v="0"/>
    <n v="0"/>
  </r>
  <r>
    <x v="24"/>
    <x v="174"/>
    <x v="20"/>
    <x v="4"/>
    <s v="Arena Entertainment"/>
    <n v="0.63"/>
    <n v="0"/>
    <n v="0.09"/>
    <n v="0.09"/>
  </r>
  <r>
    <x v="25"/>
    <x v="175"/>
    <x v="21"/>
    <x v="2"/>
    <s v="Palcom"/>
    <n v="0.44"/>
    <n v="0.31"/>
    <n v="0.04"/>
    <n v="0.04"/>
  </r>
  <r>
    <x v="26"/>
    <x v="176"/>
    <x v="22"/>
    <x v="8"/>
    <s v="Quelle"/>
    <n v="0.05"/>
    <n v="0"/>
    <n v="0.01"/>
    <n v="0.01"/>
  </r>
  <r>
    <x v="26"/>
    <x v="177"/>
    <x v="22"/>
    <x v="2"/>
    <s v="Universal Gamex"/>
    <n v="0.04"/>
    <n v="0"/>
    <n v="0.01"/>
    <n v="0.01"/>
  </r>
  <r>
    <x v="26"/>
    <x v="178"/>
    <x v="22"/>
    <x v="2"/>
    <s v="Wizard Video Games"/>
    <n v="0.03"/>
    <n v="0"/>
    <n v="0.01"/>
    <n v="0.01"/>
  </r>
  <r>
    <x v="26"/>
    <x v="179"/>
    <x v="22"/>
    <x v="10"/>
    <s v="Parker Bros."/>
    <n v="0.03"/>
    <n v="0"/>
    <n v="0.01"/>
    <n v="0.01"/>
  </r>
  <r>
    <x v="26"/>
    <x v="180"/>
    <x v="22"/>
    <x v="2"/>
    <s v="CPG Products"/>
    <n v="0.03"/>
    <n v="0"/>
    <n v="0.01"/>
    <n v="0.01"/>
  </r>
  <r>
    <x v="26"/>
    <x v="181"/>
    <x v="22"/>
    <x v="2"/>
    <s v="Answer Software"/>
    <n v="0.03"/>
    <n v="0"/>
    <n v="0.01"/>
    <n v="0.01"/>
  </r>
  <r>
    <x v="26"/>
    <x v="182"/>
    <x v="22"/>
    <x v="6"/>
    <s v="Mattel Interactive"/>
    <n v="0.02"/>
    <n v="0"/>
    <n v="0"/>
    <n v="0"/>
  </r>
  <r>
    <x v="27"/>
    <x v="183"/>
    <x v="22"/>
    <x v="1"/>
    <s v="Imagic"/>
    <n v="0.12"/>
    <n v="0"/>
    <n v="0.02"/>
    <n v="0.02"/>
  </r>
  <r>
    <x v="27"/>
    <x v="184"/>
    <x v="22"/>
    <x v="11"/>
    <s v="Coleco"/>
    <n v="0.08"/>
    <n v="0"/>
    <n v="0.02"/>
    <n v="0.02"/>
  </r>
  <r>
    <x v="27"/>
    <x v="185"/>
    <x v="22"/>
    <x v="2"/>
    <s v="Mystique"/>
    <n v="0.05"/>
    <n v="0"/>
    <n v="0.01"/>
    <n v="0.01"/>
  </r>
  <r>
    <x v="27"/>
    <x v="186"/>
    <x v="22"/>
    <x v="2"/>
    <s v="20th Century Fox Video Games"/>
    <n v="0.04"/>
    <n v="0"/>
    <n v="0.01"/>
    <n v="0.01"/>
  </r>
  <r>
    <x v="27"/>
    <x v="187"/>
    <x v="22"/>
    <x v="2"/>
    <s v="Men-A-Vision"/>
    <n v="0.04"/>
    <n v="0"/>
    <n v="0.01"/>
    <n v="0.01"/>
  </r>
  <r>
    <x v="27"/>
    <x v="188"/>
    <x v="22"/>
    <x v="2"/>
    <s v="Tigervision"/>
    <n v="0.04"/>
    <n v="0"/>
    <n v="0.01"/>
    <n v="0.01"/>
  </r>
  <r>
    <x v="27"/>
    <x v="189"/>
    <x v="22"/>
    <x v="2"/>
    <s v="Data Age"/>
    <n v="0.02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AEE5C-E9E3-4BFA-992D-591CCF303DF0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30" firstHeaderRow="1" firstDataRow="1" firstDataCol="1"/>
  <pivotFields count="11">
    <pivotField axis="axisRow" numFmtId="164" showAll="0">
      <items count="29"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91">
        <item x="69"/>
        <item x="70"/>
        <item x="154"/>
        <item x="73"/>
        <item x="180"/>
        <item x="187"/>
        <item x="189"/>
        <item x="186"/>
        <item x="24"/>
        <item x="149"/>
        <item x="121"/>
        <item x="130"/>
        <item x="148"/>
        <item x="35"/>
        <item x="116"/>
        <item x="155"/>
        <item x="107"/>
        <item x="170"/>
        <item x="71"/>
        <item x="60"/>
        <item x="58"/>
        <item x="166"/>
        <item x="91"/>
        <item x="182"/>
        <item x="62"/>
        <item x="136"/>
        <item x="111"/>
        <item x="157"/>
        <item x="103"/>
        <item x="46"/>
        <item x="49"/>
        <item x="92"/>
        <item x="140"/>
        <item x="185"/>
        <item x="51"/>
        <item x="53"/>
        <item x="5"/>
        <item x="48"/>
        <item x="63"/>
        <item x="65"/>
        <item x="57"/>
        <item x="33"/>
        <item x="98"/>
        <item x="183"/>
        <item x="145"/>
        <item x="110"/>
        <item x="137"/>
        <item x="55"/>
        <item x="19"/>
        <item x="184"/>
        <item x="6"/>
        <item x="108"/>
        <item x="12"/>
        <item x="101"/>
        <item x="133"/>
        <item x="31"/>
        <item x="176"/>
        <item x="102"/>
        <item x="20"/>
        <item x="147"/>
        <item x="21"/>
        <item x="172"/>
        <item x="0"/>
        <item x="139"/>
        <item x="128"/>
        <item x="113"/>
        <item x="44"/>
        <item x="119"/>
        <item x="85"/>
        <item x="181"/>
        <item x="59"/>
        <item x="150"/>
        <item x="64"/>
        <item x="161"/>
        <item x="36"/>
        <item x="90"/>
        <item x="178"/>
        <item x="38"/>
        <item x="143"/>
        <item x="54"/>
        <item x="82"/>
        <item x="66"/>
        <item x="112"/>
        <item x="34"/>
        <item x="122"/>
        <item x="114"/>
        <item x="153"/>
        <item x="104"/>
        <item x="171"/>
        <item x="72"/>
        <item x="75"/>
        <item x="188"/>
        <item x="11"/>
        <item x="141"/>
        <item x="42"/>
        <item x="151"/>
        <item x="106"/>
        <item x="68"/>
        <item x="142"/>
        <item x="173"/>
        <item x="14"/>
        <item x="25"/>
        <item x="129"/>
        <item x="17"/>
        <item x="159"/>
        <item x="27"/>
        <item x="144"/>
        <item x="18"/>
        <item x="174"/>
        <item x="77"/>
        <item x="109"/>
        <item x="78"/>
        <item x="74"/>
        <item x="87"/>
        <item x="167"/>
        <item x="8"/>
        <item x="146"/>
        <item x="134"/>
        <item x="4"/>
        <item x="125"/>
        <item x="3"/>
        <item x="131"/>
        <item x="95"/>
        <item x="76"/>
        <item x="22"/>
        <item x="43"/>
        <item x="41"/>
        <item x="16"/>
        <item x="160"/>
        <item x="30"/>
        <item x="179"/>
        <item x="13"/>
        <item x="152"/>
        <item x="67"/>
        <item x="156"/>
        <item x="23"/>
        <item x="120"/>
        <item x="39"/>
        <item x="123"/>
        <item x="32"/>
        <item x="52"/>
        <item x="88"/>
        <item x="164"/>
        <item x="26"/>
        <item x="45"/>
        <item x="93"/>
        <item x="117"/>
        <item x="127"/>
        <item x="165"/>
        <item x="10"/>
        <item x="99"/>
        <item x="81"/>
        <item x="169"/>
        <item x="175"/>
        <item x="158"/>
        <item x="50"/>
        <item x="163"/>
        <item x="100"/>
        <item x="80"/>
        <item x="9"/>
        <item x="118"/>
        <item x="124"/>
        <item x="29"/>
        <item x="115"/>
        <item x="135"/>
        <item x="2"/>
        <item x="162"/>
        <item x="126"/>
        <item x="168"/>
        <item x="79"/>
        <item x="84"/>
        <item x="1"/>
        <item x="15"/>
        <item x="47"/>
        <item x="83"/>
        <item x="56"/>
        <item x="132"/>
        <item x="86"/>
        <item x="61"/>
        <item x="105"/>
        <item x="94"/>
        <item x="28"/>
        <item x="89"/>
        <item x="138"/>
        <item x="37"/>
        <item x="177"/>
        <item x="7"/>
        <item x="96"/>
        <item x="97"/>
        <item x="40"/>
        <item t="default"/>
      </items>
    </pivotField>
    <pivotField showAll="0">
      <items count="24">
        <item x="22"/>
        <item x="18"/>
        <item x="1"/>
        <item x="9"/>
        <item x="17"/>
        <item x="11"/>
        <item x="14"/>
        <item x="20"/>
        <item x="16"/>
        <item x="21"/>
        <item x="7"/>
        <item x="15"/>
        <item x="12"/>
        <item x="5"/>
        <item x="0"/>
        <item x="10"/>
        <item x="6"/>
        <item x="19"/>
        <item x="8"/>
        <item x="2"/>
        <item x="4"/>
        <item x="13"/>
        <item x="3"/>
        <item t="default"/>
      </items>
    </pivotField>
    <pivotField showAll="0">
      <items count="13">
        <item x="2"/>
        <item x="5"/>
        <item x="4"/>
        <item x="8"/>
        <item x="11"/>
        <item x="10"/>
        <item x="6"/>
        <item x="3"/>
        <item x="1"/>
        <item x="7"/>
        <item x="0"/>
        <item x="9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FC32AAB-57AB-4B48-8DE6-E4C866F9EDD4}" autoFormatId="16" applyNumberFormats="0" applyBorderFormats="0" applyFontFormats="0" applyPatternFormats="0" applyAlignmentFormats="0" applyWidthHeightFormats="0">
  <queryTableRefresh nextId="10">
    <queryTableFields count="9">
      <queryTableField id="1" name="Año" tableColumnId="1"/>
      <queryTableField id="2" name="Nombre" tableColumnId="2"/>
      <queryTableField id="3" name="Plataforma" tableColumnId="3"/>
      <queryTableField id="4" name="Genero" tableColumnId="4"/>
      <queryTableField id="5" name="Editorial" tableColumnId="5"/>
      <queryTableField id="6" name="Porcentaje" tableColumnId="6"/>
      <queryTableField id="7" name="Ventas EU" tableColumnId="7"/>
      <queryTableField id="8" name="Ventas USA" tableColumnId="8"/>
      <queryTableField id="9" name="Ventas A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ECA205-E73B-464B-928E-319140BB6831}" name="Table1" displayName="Table1" ref="A3:F45" totalsRowShown="0" headerRowDxfId="34" headerRowBorderDxfId="33" tableBorderDxfId="32" totalsRowBorderDxfId="31">
  <autoFilter ref="A3:F45" xr:uid="{3EECA205-E73B-464B-928E-319140BB6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CA469B9-E923-4A1A-8982-263CB1ED8125}" name="Item ID" dataDxfId="30"/>
    <tableColumn id="2" xr3:uid="{C8FCF649-8A1E-4E50-9534-931814CAAE1D}" name="Item" dataDxfId="29"/>
    <tableColumn id="3" xr3:uid="{F07B9A95-DD03-4C9A-9258-01017FDE6805}" name="Category" dataDxfId="28"/>
    <tableColumn id="4" xr3:uid="{A6BAA2AD-E589-490B-8FD8-F6CEC09A0739}" name="Bid" dataDxfId="27"/>
    <tableColumn id="5" xr3:uid="{0FF71969-3E86-4B53-9F30-9DFCF818A287}" name="Date" dataDxfId="26"/>
    <tableColumn id="6" xr3:uid="{90D68812-6FE8-433B-A447-1D032C0E1966}" name="Customer ID" dataDxfId="2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534FF3-6E2A-4EC2-B921-7309A281ADE7}" name="Ventas_Videojuegos" displayName="Ventas_Videojuegos" ref="A1:I196" tableType="queryTable" totalsRowShown="0">
  <sortState xmlns:xlrd2="http://schemas.microsoft.com/office/spreadsheetml/2017/richdata2" ref="A2:I5001">
    <sortCondition descending="1" ref="A2:A5001"/>
  </sortState>
  <tableColumns count="9">
    <tableColumn id="1" xr3:uid="{DB5E3B44-C77E-4CCD-9F3A-3FE8437A2A3D}" uniqueName="1" name="Año" queryTableFieldId="1" dataDxfId="24"/>
    <tableColumn id="2" xr3:uid="{6D5403EA-DE35-409B-8016-C68567317365}" uniqueName="2" name="Nombre" queryTableFieldId="2" dataDxfId="23"/>
    <tableColumn id="3" xr3:uid="{C452DA71-276B-4D7B-AC53-E42B6E6A0383}" uniqueName="3" name="Plataforma" queryTableFieldId="3"/>
    <tableColumn id="4" xr3:uid="{464D5134-9539-431B-8ED0-D965B53C2007}" uniqueName="4" name="Genero" queryTableFieldId="4" dataDxfId="22"/>
    <tableColumn id="5" xr3:uid="{58BE4CAB-3155-444B-A837-7B8F10F875FC}" uniqueName="5" name="Editorial" queryTableFieldId="5" dataDxfId="21"/>
    <tableColumn id="6" xr3:uid="{78CE3EDD-078F-4BA6-B8CE-A0093C12BFE3}" uniqueName="6" name="Porcentaje" queryTableFieldId="6"/>
    <tableColumn id="7" xr3:uid="{5C2F753B-66C7-4BE1-8757-96EBF3A36FCA}" uniqueName="7" name="Ventas EU" queryTableFieldId="7"/>
    <tableColumn id="8" xr3:uid="{50C5E12E-50F4-4192-8264-43DF92F62FE0}" uniqueName="8" name="Ventas USA" queryTableFieldId="8"/>
    <tableColumn id="9" xr3:uid="{8BE03BF6-E2E0-451B-B36B-E9B12CA1E14C}" uniqueName="9" name="Ventas AL" queryTableFieldId="9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93DFEE-CC22-4CD3-AE41-E014CC8216DA}" name="Table13" displayName="Table13" ref="A3:F11" totalsRowShown="0" headerRowDxfId="20" dataDxfId="18" headerRowBorderDxfId="19" tableBorderDxfId="17" totalsRowBorderDxfId="16">
  <autoFilter ref="A3:F11" xr:uid="{3B93DFEE-CC22-4CD3-AE41-E014CC8216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26266C5-3F26-44A5-9125-6145CF95C6F6}" name="Item ID" dataDxfId="15"/>
    <tableColumn id="2" xr3:uid="{911033E2-42DE-4F85-9531-D95C442F71BC}" name="Quantity" dataDxfId="14"/>
    <tableColumn id="3" xr3:uid="{F4598226-E393-4614-90BB-64998CD1E398}" name="Cost" dataDxfId="13"/>
    <tableColumn id="4" xr3:uid="{474E347C-F240-41B0-95B2-DFCDC464485F}" name="Markup" dataDxfId="12" dataCellStyle="Percent"/>
    <tableColumn id="5" xr3:uid="{0686A95A-354C-4F7A-B224-FB6FC2B752AE}" name="Price" dataDxfId="11"/>
    <tableColumn id="6" xr3:uid="{E4A72E95-7D4A-4985-83C9-41E4A516764A}" name="Profit" dataDxfId="10">
      <calculatedColumnFormula>Table13[[#This Row],[Price]]-Table13[[#This Row],[Cost]]</calculatedColumnFormula>
    </tableColumn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331A06-59D6-45E3-8A6F-3DFAEBBA6015}" name="Table14" displayName="Table14" ref="A3:F45" totalsRowShown="0" headerRowDxfId="9" headerRowBorderDxfId="8" tableBorderDxfId="7" totalsRowBorderDxfId="6">
  <autoFilter ref="A3:F45" xr:uid="{3EECA205-E73B-464B-928E-319140BB6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9581ACF-B54B-47BE-8207-0BC50935D910}" name="Item ID" dataDxfId="5"/>
    <tableColumn id="2" xr3:uid="{8DD2EF22-3637-4A4A-869C-3F28A8AEC5F0}" name="Item" dataDxfId="4"/>
    <tableColumn id="3" xr3:uid="{18A98DCE-0303-48CB-94CF-C83887020FDE}" name="Category" dataDxfId="3"/>
    <tableColumn id="4" xr3:uid="{8B79EB62-C276-468E-AF94-AC9D5B07497B}" name="Bid" dataDxfId="2"/>
    <tableColumn id="5" xr3:uid="{C05C4616-3DFC-42E4-8555-D86E47F6CEE5}" name="Date" dataDxfId="1"/>
    <tableColumn id="6" xr3:uid="{23E43E86-2006-4A72-80EB-53897A9B471D}" name="Customer ID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A422-2116-4BCB-886D-BC2A42A2ABE9}">
  <dimension ref="A1:F45"/>
  <sheetViews>
    <sheetView workbookViewId="0">
      <selection activeCell="B7" sqref="B7"/>
    </sheetView>
  </sheetViews>
  <sheetFormatPr defaultRowHeight="15" x14ac:dyDescent="0.25"/>
  <cols>
    <col min="1" max="1" width="9.5703125" customWidth="1"/>
    <col min="2" max="3" width="31.42578125" customWidth="1"/>
    <col min="6" max="6" width="14.5703125" customWidth="1"/>
  </cols>
  <sheetData>
    <row r="1" spans="1:6" ht="23.25" x14ac:dyDescent="0.35">
      <c r="A1" s="37" t="s">
        <v>0</v>
      </c>
      <c r="B1" s="37"/>
    </row>
    <row r="2" spans="1:6" ht="15.75" x14ac:dyDescent="0.25">
      <c r="A2" s="38" t="s">
        <v>1</v>
      </c>
      <c r="B2" s="38"/>
    </row>
    <row r="3" spans="1:6" x14ac:dyDescent="0.25">
      <c r="A3" s="10" t="s">
        <v>2</v>
      </c>
      <c r="B3" s="11" t="s">
        <v>3</v>
      </c>
      <c r="C3" s="12" t="s">
        <v>4</v>
      </c>
      <c r="D3" s="3" t="s">
        <v>5</v>
      </c>
      <c r="E3" s="2" t="s">
        <v>6</v>
      </c>
      <c r="F3" s="4" t="s">
        <v>7</v>
      </c>
    </row>
    <row r="4" spans="1:6" x14ac:dyDescent="0.25">
      <c r="A4" s="13">
        <v>1001</v>
      </c>
      <c r="B4" s="1" t="s">
        <v>8</v>
      </c>
      <c r="C4" s="14" t="s">
        <v>11</v>
      </c>
      <c r="D4" s="5">
        <v>1250</v>
      </c>
      <c r="E4" s="1" t="s">
        <v>12</v>
      </c>
      <c r="F4" s="6">
        <v>3</v>
      </c>
    </row>
    <row r="5" spans="1:6" x14ac:dyDescent="0.25">
      <c r="A5" s="13">
        <v>1005</v>
      </c>
      <c r="B5" s="1" t="s">
        <v>9</v>
      </c>
      <c r="C5" s="14" t="s">
        <v>13</v>
      </c>
      <c r="D5" s="5">
        <v>775</v>
      </c>
      <c r="E5" s="1" t="s">
        <v>14</v>
      </c>
      <c r="F5" s="6">
        <v>4</v>
      </c>
    </row>
    <row r="6" spans="1:6" x14ac:dyDescent="0.25">
      <c r="A6" s="13">
        <v>1004</v>
      </c>
      <c r="B6" s="1" t="s">
        <v>15</v>
      </c>
      <c r="C6" s="14" t="s">
        <v>11</v>
      </c>
      <c r="D6" s="5">
        <v>1400</v>
      </c>
      <c r="E6" s="1" t="s">
        <v>16</v>
      </c>
      <c r="F6" s="6">
        <v>45</v>
      </c>
    </row>
    <row r="7" spans="1:6" x14ac:dyDescent="0.25">
      <c r="A7" s="13">
        <v>1003</v>
      </c>
      <c r="B7" s="1" t="s">
        <v>10</v>
      </c>
      <c r="C7" s="14" t="s">
        <v>11</v>
      </c>
      <c r="D7" s="5">
        <v>2255</v>
      </c>
      <c r="E7" s="1" t="s">
        <v>17</v>
      </c>
      <c r="F7" s="6">
        <v>28</v>
      </c>
    </row>
    <row r="8" spans="1:6" x14ac:dyDescent="0.25">
      <c r="A8" s="13">
        <v>1008</v>
      </c>
      <c r="B8" s="1" t="s">
        <v>18</v>
      </c>
      <c r="C8" s="14" t="s">
        <v>19</v>
      </c>
      <c r="D8" s="5">
        <v>585</v>
      </c>
      <c r="E8" s="1" t="s">
        <v>17</v>
      </c>
      <c r="F8" s="6">
        <v>8</v>
      </c>
    </row>
    <row r="9" spans="1:6" x14ac:dyDescent="0.25">
      <c r="A9" s="15">
        <v>1012</v>
      </c>
      <c r="B9" s="16" t="s">
        <v>20</v>
      </c>
      <c r="C9" s="17" t="s">
        <v>21</v>
      </c>
      <c r="D9" s="5">
        <v>640</v>
      </c>
      <c r="E9" s="1" t="s">
        <v>22</v>
      </c>
      <c r="F9" s="6">
        <v>48</v>
      </c>
    </row>
    <row r="10" spans="1:6" x14ac:dyDescent="0.25">
      <c r="A10" s="3">
        <v>1002</v>
      </c>
      <c r="B10" s="2" t="s">
        <v>23</v>
      </c>
      <c r="C10" s="2" t="s">
        <v>11</v>
      </c>
      <c r="D10" s="1">
        <v>2195</v>
      </c>
      <c r="E10" s="1" t="s">
        <v>24</v>
      </c>
      <c r="F10" s="6">
        <v>30</v>
      </c>
    </row>
    <row r="11" spans="1:6" x14ac:dyDescent="0.25">
      <c r="A11" s="5">
        <v>1011</v>
      </c>
      <c r="B11" s="1" t="s">
        <v>25</v>
      </c>
      <c r="C11" s="1" t="s">
        <v>13</v>
      </c>
      <c r="D11" s="1">
        <v>795</v>
      </c>
      <c r="E11" s="1" t="s">
        <v>24</v>
      </c>
      <c r="F11" s="6">
        <v>17</v>
      </c>
    </row>
    <row r="12" spans="1:6" x14ac:dyDescent="0.25">
      <c r="A12" s="5">
        <v>1012</v>
      </c>
      <c r="B12" s="1" t="s">
        <v>9</v>
      </c>
      <c r="C12" s="1" t="s">
        <v>13</v>
      </c>
      <c r="D12" s="1">
        <v>1989</v>
      </c>
      <c r="E12" s="1" t="s">
        <v>26</v>
      </c>
      <c r="F12" s="6">
        <v>6</v>
      </c>
    </row>
    <row r="13" spans="1:6" x14ac:dyDescent="0.25">
      <c r="A13" s="5">
        <v>1013</v>
      </c>
      <c r="B13" s="1" t="s">
        <v>9</v>
      </c>
      <c r="C13" s="1" t="s">
        <v>13</v>
      </c>
      <c r="D13" s="1">
        <v>948</v>
      </c>
      <c r="E13" s="1" t="s">
        <v>27</v>
      </c>
      <c r="F13" s="6">
        <v>19</v>
      </c>
    </row>
    <row r="14" spans="1:6" x14ac:dyDescent="0.25">
      <c r="A14" s="5">
        <v>1014</v>
      </c>
      <c r="B14" s="1" t="s">
        <v>10</v>
      </c>
      <c r="C14" s="1" t="s">
        <v>11</v>
      </c>
      <c r="D14" s="1">
        <v>1599</v>
      </c>
      <c r="E14" s="1" t="s">
        <v>28</v>
      </c>
      <c r="F14" s="6">
        <v>6</v>
      </c>
    </row>
    <row r="15" spans="1:6" x14ac:dyDescent="0.25">
      <c r="A15" s="5">
        <v>1015</v>
      </c>
      <c r="B15" s="1" t="s">
        <v>29</v>
      </c>
      <c r="C15" s="1" t="s">
        <v>21</v>
      </c>
      <c r="D15" s="1">
        <v>1227</v>
      </c>
      <c r="E15" s="1" t="s">
        <v>30</v>
      </c>
      <c r="F15" s="6">
        <v>3</v>
      </c>
    </row>
    <row r="16" spans="1:6" x14ac:dyDescent="0.25">
      <c r="A16" s="5">
        <v>1016</v>
      </c>
      <c r="B16" s="1" t="s">
        <v>31</v>
      </c>
      <c r="C16" s="1" t="s">
        <v>13</v>
      </c>
      <c r="D16" s="1">
        <v>1744</v>
      </c>
      <c r="E16" s="1" t="s">
        <v>27</v>
      </c>
      <c r="F16" s="6">
        <v>20</v>
      </c>
    </row>
    <row r="17" spans="1:6" x14ac:dyDescent="0.25">
      <c r="A17" s="5">
        <v>1017</v>
      </c>
      <c r="B17" s="1" t="s">
        <v>32</v>
      </c>
      <c r="C17" s="1" t="s">
        <v>19</v>
      </c>
      <c r="D17" s="1">
        <v>2850</v>
      </c>
      <c r="E17" s="1" t="s">
        <v>30</v>
      </c>
      <c r="F17" s="6">
        <v>12</v>
      </c>
    </row>
    <row r="18" spans="1:6" x14ac:dyDescent="0.25">
      <c r="A18" s="5">
        <v>1018</v>
      </c>
      <c r="B18" s="1" t="s">
        <v>29</v>
      </c>
      <c r="C18" s="1" t="s">
        <v>21</v>
      </c>
      <c r="D18" s="1">
        <v>1865</v>
      </c>
      <c r="E18" s="1" t="s">
        <v>26</v>
      </c>
      <c r="F18" s="6">
        <v>10</v>
      </c>
    </row>
    <row r="19" spans="1:6" x14ac:dyDescent="0.25">
      <c r="A19" s="5">
        <v>1019</v>
      </c>
      <c r="B19" s="1" t="s">
        <v>15</v>
      </c>
      <c r="C19" s="1" t="s">
        <v>11</v>
      </c>
      <c r="D19" s="1">
        <v>2854</v>
      </c>
      <c r="E19" s="1" t="s">
        <v>33</v>
      </c>
      <c r="F19" s="6">
        <v>16</v>
      </c>
    </row>
    <row r="20" spans="1:6" x14ac:dyDescent="0.25">
      <c r="A20" s="5">
        <v>1020</v>
      </c>
      <c r="B20" s="1" t="s">
        <v>29</v>
      </c>
      <c r="C20" s="1" t="s">
        <v>21</v>
      </c>
      <c r="D20" s="1">
        <v>2668</v>
      </c>
      <c r="E20" s="1" t="s">
        <v>34</v>
      </c>
      <c r="F20" s="6">
        <v>10</v>
      </c>
    </row>
    <row r="21" spans="1:6" x14ac:dyDescent="0.25">
      <c r="A21" s="5">
        <v>1021</v>
      </c>
      <c r="B21" s="1" t="s">
        <v>32</v>
      </c>
      <c r="C21" s="1" t="s">
        <v>19</v>
      </c>
      <c r="D21" s="1">
        <v>2270</v>
      </c>
      <c r="E21" s="1" t="s">
        <v>34</v>
      </c>
      <c r="F21" s="6">
        <v>12</v>
      </c>
    </row>
    <row r="22" spans="1:6" x14ac:dyDescent="0.25">
      <c r="A22" s="5">
        <v>1022</v>
      </c>
      <c r="B22" s="1" t="s">
        <v>29</v>
      </c>
      <c r="C22" s="1" t="s">
        <v>21</v>
      </c>
      <c r="D22" s="1">
        <v>1924</v>
      </c>
      <c r="E22" s="1" t="s">
        <v>30</v>
      </c>
      <c r="F22" s="6">
        <v>10</v>
      </c>
    </row>
    <row r="23" spans="1:6" x14ac:dyDescent="0.25">
      <c r="A23" s="5">
        <v>1023</v>
      </c>
      <c r="B23" s="1" t="s">
        <v>9</v>
      </c>
      <c r="C23" s="1" t="s">
        <v>13</v>
      </c>
      <c r="D23" s="1">
        <v>1431</v>
      </c>
      <c r="E23" s="1" t="s">
        <v>34</v>
      </c>
      <c r="F23" s="6">
        <v>10</v>
      </c>
    </row>
    <row r="24" spans="1:6" x14ac:dyDescent="0.25">
      <c r="A24" s="5">
        <v>1024</v>
      </c>
      <c r="B24" s="1" t="s">
        <v>9</v>
      </c>
      <c r="C24" s="1" t="s">
        <v>13</v>
      </c>
      <c r="D24" s="1">
        <v>1378</v>
      </c>
      <c r="E24" s="1" t="s">
        <v>35</v>
      </c>
      <c r="F24" s="6">
        <v>9</v>
      </c>
    </row>
    <row r="25" spans="1:6" x14ac:dyDescent="0.25">
      <c r="A25" s="5">
        <v>1025</v>
      </c>
      <c r="B25" s="1" t="s">
        <v>15</v>
      </c>
      <c r="C25" s="1" t="s">
        <v>11</v>
      </c>
      <c r="D25" s="1">
        <v>863</v>
      </c>
      <c r="E25" s="1" t="s">
        <v>33</v>
      </c>
      <c r="F25" s="6">
        <v>17</v>
      </c>
    </row>
    <row r="26" spans="1:6" x14ac:dyDescent="0.25">
      <c r="A26" s="5">
        <v>1026</v>
      </c>
      <c r="B26" s="1" t="s">
        <v>9</v>
      </c>
      <c r="C26" s="1" t="s">
        <v>13</v>
      </c>
      <c r="D26" s="1">
        <v>2306</v>
      </c>
      <c r="E26" s="1" t="s">
        <v>36</v>
      </c>
      <c r="F26" s="6">
        <v>7</v>
      </c>
    </row>
    <row r="27" spans="1:6" x14ac:dyDescent="0.25">
      <c r="A27" s="5">
        <v>1027</v>
      </c>
      <c r="B27" s="1" t="s">
        <v>32</v>
      </c>
      <c r="C27" s="1" t="s">
        <v>19</v>
      </c>
      <c r="D27" s="1">
        <v>1744</v>
      </c>
      <c r="E27" s="1" t="s">
        <v>37</v>
      </c>
      <c r="F27" s="6">
        <v>12</v>
      </c>
    </row>
    <row r="28" spans="1:6" x14ac:dyDescent="0.25">
      <c r="A28" s="5">
        <v>1028</v>
      </c>
      <c r="B28" s="1" t="s">
        <v>9</v>
      </c>
      <c r="C28" s="1" t="s">
        <v>13</v>
      </c>
      <c r="D28" s="1">
        <v>1718</v>
      </c>
      <c r="E28" s="1" t="s">
        <v>33</v>
      </c>
      <c r="F28" s="6">
        <v>11</v>
      </c>
    </row>
    <row r="29" spans="1:6" x14ac:dyDescent="0.25">
      <c r="A29" s="5">
        <v>1029</v>
      </c>
      <c r="B29" s="1" t="s">
        <v>10</v>
      </c>
      <c r="C29" s="1" t="s">
        <v>11</v>
      </c>
      <c r="D29" s="1">
        <v>2707</v>
      </c>
      <c r="E29" s="1" t="s">
        <v>34</v>
      </c>
      <c r="F29" s="6">
        <v>11</v>
      </c>
    </row>
    <row r="30" spans="1:6" x14ac:dyDescent="0.25">
      <c r="A30" s="5">
        <v>1030</v>
      </c>
      <c r="B30" s="1" t="s">
        <v>29</v>
      </c>
      <c r="C30" s="1" t="s">
        <v>21</v>
      </c>
      <c r="D30" s="1">
        <v>1440</v>
      </c>
      <c r="E30" s="1" t="s">
        <v>27</v>
      </c>
      <c r="F30" s="6">
        <v>15</v>
      </c>
    </row>
    <row r="31" spans="1:6" x14ac:dyDescent="0.25">
      <c r="A31" s="5">
        <v>1031</v>
      </c>
      <c r="B31" s="1" t="s">
        <v>31</v>
      </c>
      <c r="C31" s="1" t="s">
        <v>13</v>
      </c>
      <c r="D31" s="1">
        <v>1344</v>
      </c>
      <c r="E31" s="1" t="s">
        <v>36</v>
      </c>
      <c r="F31" s="6">
        <v>8</v>
      </c>
    </row>
    <row r="32" spans="1:6" x14ac:dyDescent="0.25">
      <c r="A32" s="5">
        <v>1032</v>
      </c>
      <c r="B32" s="1" t="s">
        <v>23</v>
      </c>
      <c r="C32" s="1" t="s">
        <v>11</v>
      </c>
      <c r="D32" s="1">
        <v>2210</v>
      </c>
      <c r="E32" s="1" t="s">
        <v>28</v>
      </c>
      <c r="F32" s="6">
        <v>19</v>
      </c>
    </row>
    <row r="33" spans="1:6" x14ac:dyDescent="0.25">
      <c r="A33" s="5">
        <v>1033</v>
      </c>
      <c r="B33" s="1" t="s">
        <v>10</v>
      </c>
      <c r="C33" s="1" t="s">
        <v>11</v>
      </c>
      <c r="D33" s="1">
        <v>838</v>
      </c>
      <c r="E33" s="1" t="s">
        <v>33</v>
      </c>
      <c r="F33" s="6">
        <v>10</v>
      </c>
    </row>
    <row r="34" spans="1:6" x14ac:dyDescent="0.25">
      <c r="A34" s="5">
        <v>1034</v>
      </c>
      <c r="B34" s="1" t="s">
        <v>23</v>
      </c>
      <c r="C34" s="1" t="s">
        <v>11</v>
      </c>
      <c r="D34" s="1">
        <v>1583</v>
      </c>
      <c r="E34" s="1" t="s">
        <v>37</v>
      </c>
      <c r="F34" s="6">
        <v>4</v>
      </c>
    </row>
    <row r="35" spans="1:6" x14ac:dyDescent="0.25">
      <c r="A35" s="5">
        <v>1035</v>
      </c>
      <c r="B35" s="1" t="s">
        <v>8</v>
      </c>
      <c r="C35" s="1" t="s">
        <v>11</v>
      </c>
      <c r="D35" s="1">
        <v>1209</v>
      </c>
      <c r="E35" s="1" t="s">
        <v>30</v>
      </c>
      <c r="F35" s="6">
        <v>19</v>
      </c>
    </row>
    <row r="36" spans="1:6" x14ac:dyDescent="0.25">
      <c r="A36" s="5">
        <v>1036</v>
      </c>
      <c r="B36" s="1" t="s">
        <v>23</v>
      </c>
      <c r="C36" s="1" t="s">
        <v>11</v>
      </c>
      <c r="D36" s="1">
        <v>990</v>
      </c>
      <c r="E36" s="1" t="s">
        <v>28</v>
      </c>
      <c r="F36" s="6">
        <v>19</v>
      </c>
    </row>
    <row r="37" spans="1:6" x14ac:dyDescent="0.25">
      <c r="A37" s="5">
        <v>1037</v>
      </c>
      <c r="B37" s="1" t="s">
        <v>31</v>
      </c>
      <c r="C37" s="1" t="s">
        <v>13</v>
      </c>
      <c r="D37" s="1">
        <v>2521</v>
      </c>
      <c r="E37" s="1" t="s">
        <v>35</v>
      </c>
      <c r="F37" s="6">
        <v>6</v>
      </c>
    </row>
    <row r="38" spans="1:6" x14ac:dyDescent="0.25">
      <c r="A38" s="5">
        <v>1038</v>
      </c>
      <c r="B38" s="1" t="s">
        <v>23</v>
      </c>
      <c r="C38" s="1" t="s">
        <v>11</v>
      </c>
      <c r="D38" s="1">
        <v>1076</v>
      </c>
      <c r="E38" s="1" t="s">
        <v>36</v>
      </c>
      <c r="F38" s="6">
        <v>11</v>
      </c>
    </row>
    <row r="39" spans="1:6" x14ac:dyDescent="0.25">
      <c r="A39" s="5">
        <v>1039</v>
      </c>
      <c r="B39" s="1" t="s">
        <v>32</v>
      </c>
      <c r="C39" s="1" t="s">
        <v>19</v>
      </c>
      <c r="D39" s="1">
        <v>2943</v>
      </c>
      <c r="E39" s="1" t="s">
        <v>26</v>
      </c>
      <c r="F39" s="6">
        <v>10</v>
      </c>
    </row>
    <row r="40" spans="1:6" x14ac:dyDescent="0.25">
      <c r="A40" s="5">
        <v>1040</v>
      </c>
      <c r="B40" s="1" t="s">
        <v>29</v>
      </c>
      <c r="C40" s="1" t="s">
        <v>21</v>
      </c>
      <c r="D40" s="1">
        <v>2123</v>
      </c>
      <c r="E40" s="1" t="s">
        <v>36</v>
      </c>
      <c r="F40" s="6">
        <v>19</v>
      </c>
    </row>
    <row r="41" spans="1:6" x14ac:dyDescent="0.25">
      <c r="A41" s="5">
        <v>1041</v>
      </c>
      <c r="B41" s="1" t="s">
        <v>32</v>
      </c>
      <c r="C41" s="1" t="s">
        <v>19</v>
      </c>
      <c r="D41" s="1">
        <v>1236</v>
      </c>
      <c r="E41" s="1" t="s">
        <v>38</v>
      </c>
      <c r="F41" s="6">
        <v>13</v>
      </c>
    </row>
    <row r="42" spans="1:6" x14ac:dyDescent="0.25">
      <c r="A42" s="5">
        <v>1042</v>
      </c>
      <c r="B42" s="1" t="s">
        <v>15</v>
      </c>
      <c r="C42" s="1" t="s">
        <v>11</v>
      </c>
      <c r="D42" s="1">
        <v>2169</v>
      </c>
      <c r="E42" s="1" t="s">
        <v>28</v>
      </c>
      <c r="F42" s="6">
        <v>11</v>
      </c>
    </row>
    <row r="43" spans="1:6" x14ac:dyDescent="0.25">
      <c r="A43" s="5">
        <v>1043</v>
      </c>
      <c r="B43" s="1" t="s">
        <v>31</v>
      </c>
      <c r="C43" s="1" t="s">
        <v>13</v>
      </c>
      <c r="D43" s="1">
        <v>700</v>
      </c>
      <c r="E43" s="1" t="s">
        <v>27</v>
      </c>
      <c r="F43" s="6">
        <v>9</v>
      </c>
    </row>
    <row r="44" spans="1:6" x14ac:dyDescent="0.25">
      <c r="A44" s="5">
        <v>1044</v>
      </c>
      <c r="B44" s="1" t="s">
        <v>32</v>
      </c>
      <c r="C44" s="1" t="s">
        <v>19</v>
      </c>
      <c r="D44" s="1">
        <v>2165</v>
      </c>
      <c r="E44" s="1" t="s">
        <v>34</v>
      </c>
      <c r="F44" s="6">
        <v>2</v>
      </c>
    </row>
    <row r="45" spans="1:6" x14ac:dyDescent="0.25">
      <c r="A45" s="7">
        <v>1045</v>
      </c>
      <c r="B45" s="8" t="s">
        <v>8</v>
      </c>
      <c r="C45" s="8" t="s">
        <v>11</v>
      </c>
      <c r="D45" s="8">
        <v>2566</v>
      </c>
      <c r="E45" s="8" t="s">
        <v>27</v>
      </c>
      <c r="F45" s="9">
        <v>6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9752-9821-4787-B4B7-8B2BC065D21C}">
  <dimension ref="A1:I196"/>
  <sheetViews>
    <sheetView topLeftCell="A188" workbookViewId="0">
      <selection activeCell="B6" sqref="B6"/>
    </sheetView>
  </sheetViews>
  <sheetFormatPr defaultRowHeight="15" x14ac:dyDescent="0.25"/>
  <cols>
    <col min="1" max="1" width="27.7109375" bestFit="1" customWidth="1"/>
    <col min="2" max="2" width="44.5703125" customWidth="1"/>
    <col min="3" max="3" width="13" bestFit="1" customWidth="1"/>
    <col min="4" max="4" width="12" bestFit="1" customWidth="1"/>
    <col min="5" max="5" width="23.28515625" customWidth="1"/>
    <col min="6" max="6" width="13" bestFit="1" customWidth="1"/>
    <col min="7" max="7" width="12.28515625" bestFit="1" customWidth="1"/>
    <col min="8" max="8" width="13.42578125" bestFit="1" customWidth="1"/>
    <col min="9" max="9" width="12" bestFit="1" customWidth="1"/>
  </cols>
  <sheetData>
    <row r="1" spans="1:9" x14ac:dyDescent="0.25">
      <c r="A1" t="s">
        <v>463</v>
      </c>
      <c r="B1" t="s">
        <v>464</v>
      </c>
      <c r="C1" t="s">
        <v>465</v>
      </c>
      <c r="D1" t="s">
        <v>466</v>
      </c>
      <c r="E1" t="s">
        <v>467</v>
      </c>
      <c r="F1" t="s">
        <v>468</v>
      </c>
      <c r="G1" t="s">
        <v>469</v>
      </c>
      <c r="H1" t="s">
        <v>470</v>
      </c>
      <c r="I1" t="s">
        <v>471</v>
      </c>
    </row>
    <row r="2" spans="1:9" x14ac:dyDescent="0.25">
      <c r="A2" s="34">
        <v>44750</v>
      </c>
      <c r="B2" t="s">
        <v>44</v>
      </c>
      <c r="C2" t="s">
        <v>45</v>
      </c>
      <c r="D2" t="s">
        <v>46</v>
      </c>
      <c r="E2" t="s">
        <v>47</v>
      </c>
      <c r="F2">
        <v>3.75</v>
      </c>
      <c r="G2">
        <v>0.06</v>
      </c>
      <c r="H2">
        <v>0.69</v>
      </c>
      <c r="I2">
        <v>0.69</v>
      </c>
    </row>
    <row r="3" spans="1:9" x14ac:dyDescent="0.25">
      <c r="A3" s="34">
        <v>44750</v>
      </c>
      <c r="B3" t="s">
        <v>48</v>
      </c>
      <c r="C3" t="s">
        <v>45</v>
      </c>
      <c r="D3" t="s">
        <v>49</v>
      </c>
      <c r="E3" t="s">
        <v>50</v>
      </c>
      <c r="F3">
        <v>2.0699999999999998</v>
      </c>
      <c r="G3">
        <v>0.18</v>
      </c>
      <c r="H3">
        <v>0.65</v>
      </c>
      <c r="I3">
        <v>0.65</v>
      </c>
    </row>
    <row r="4" spans="1:9" x14ac:dyDescent="0.25">
      <c r="A4" s="34">
        <v>44750</v>
      </c>
      <c r="B4" t="s">
        <v>51</v>
      </c>
      <c r="C4" t="s">
        <v>45</v>
      </c>
      <c r="D4" t="s">
        <v>49</v>
      </c>
      <c r="E4" t="s">
        <v>52</v>
      </c>
      <c r="F4">
        <v>1.61</v>
      </c>
      <c r="G4">
        <v>0.15</v>
      </c>
      <c r="H4">
        <v>0.56999999999999995</v>
      </c>
      <c r="I4">
        <v>0.56999999999999995</v>
      </c>
    </row>
    <row r="5" spans="1:9" x14ac:dyDescent="0.25">
      <c r="A5" s="34">
        <v>44750</v>
      </c>
      <c r="B5" t="s">
        <v>53</v>
      </c>
      <c r="C5" t="s">
        <v>45</v>
      </c>
      <c r="D5" t="s">
        <v>49</v>
      </c>
      <c r="E5" t="s">
        <v>54</v>
      </c>
      <c r="F5">
        <v>0.68</v>
      </c>
      <c r="G5">
        <v>0.14000000000000001</v>
      </c>
      <c r="H5">
        <v>0.26</v>
      </c>
      <c r="I5">
        <v>0.26</v>
      </c>
    </row>
    <row r="6" spans="1:9" x14ac:dyDescent="0.25">
      <c r="A6" s="34">
        <v>44750</v>
      </c>
      <c r="B6" t="s">
        <v>55</v>
      </c>
      <c r="C6" t="s">
        <v>45</v>
      </c>
      <c r="D6" t="s">
        <v>56</v>
      </c>
      <c r="E6" t="s">
        <v>57</v>
      </c>
      <c r="F6">
        <v>0.74</v>
      </c>
      <c r="G6">
        <v>0.02</v>
      </c>
      <c r="H6">
        <v>0.26</v>
      </c>
      <c r="I6">
        <v>0.26</v>
      </c>
    </row>
    <row r="7" spans="1:9" x14ac:dyDescent="0.25">
      <c r="A7" s="34">
        <v>44750</v>
      </c>
      <c r="B7" t="s">
        <v>58</v>
      </c>
      <c r="C7" t="s">
        <v>45</v>
      </c>
      <c r="D7" t="s">
        <v>59</v>
      </c>
      <c r="E7" t="s">
        <v>60</v>
      </c>
      <c r="F7">
        <v>0.44</v>
      </c>
      <c r="G7">
        <v>0.33</v>
      </c>
      <c r="H7">
        <v>0.21</v>
      </c>
      <c r="I7">
        <v>0.21</v>
      </c>
    </row>
    <row r="8" spans="1:9" x14ac:dyDescent="0.25">
      <c r="A8" s="34">
        <v>44750</v>
      </c>
      <c r="B8" t="s">
        <v>61</v>
      </c>
      <c r="C8" t="s">
        <v>45</v>
      </c>
      <c r="D8" t="s">
        <v>49</v>
      </c>
      <c r="E8" t="s">
        <v>62</v>
      </c>
      <c r="F8">
        <v>0.66</v>
      </c>
      <c r="G8">
        <v>0.02</v>
      </c>
      <c r="H8">
        <v>0.22</v>
      </c>
      <c r="I8">
        <v>0.22</v>
      </c>
    </row>
    <row r="9" spans="1:9" x14ac:dyDescent="0.25">
      <c r="A9" s="34">
        <v>44750</v>
      </c>
      <c r="B9" t="s">
        <v>63</v>
      </c>
      <c r="C9" t="s">
        <v>64</v>
      </c>
      <c r="D9" t="s">
        <v>56</v>
      </c>
      <c r="E9" t="s">
        <v>65</v>
      </c>
      <c r="F9">
        <v>0</v>
      </c>
      <c r="G9">
        <v>1.27</v>
      </c>
      <c r="H9">
        <v>0</v>
      </c>
      <c r="I9">
        <v>0</v>
      </c>
    </row>
    <row r="10" spans="1:9" x14ac:dyDescent="0.25">
      <c r="A10" s="34">
        <v>44750</v>
      </c>
      <c r="B10" t="s">
        <v>66</v>
      </c>
      <c r="C10" t="s">
        <v>45</v>
      </c>
      <c r="D10" t="s">
        <v>46</v>
      </c>
      <c r="E10" t="s">
        <v>67</v>
      </c>
      <c r="F10">
        <v>0.14000000000000001</v>
      </c>
      <c r="G10">
        <v>0</v>
      </c>
      <c r="H10">
        <v>0.22</v>
      </c>
      <c r="I10">
        <v>0.22</v>
      </c>
    </row>
    <row r="11" spans="1:9" x14ac:dyDescent="0.25">
      <c r="A11" s="34">
        <v>44750</v>
      </c>
      <c r="B11" t="s">
        <v>68</v>
      </c>
      <c r="C11" t="s">
        <v>69</v>
      </c>
      <c r="D11" t="s">
        <v>56</v>
      </c>
      <c r="E11" t="s">
        <v>70</v>
      </c>
      <c r="F11">
        <v>0.3</v>
      </c>
      <c r="G11">
        <v>0.08</v>
      </c>
      <c r="H11">
        <v>0.08</v>
      </c>
      <c r="I11">
        <v>0.08</v>
      </c>
    </row>
    <row r="12" spans="1:9" x14ac:dyDescent="0.25">
      <c r="A12" s="34">
        <v>44750</v>
      </c>
      <c r="B12" t="s">
        <v>71</v>
      </c>
      <c r="C12" t="s">
        <v>45</v>
      </c>
      <c r="D12" t="s">
        <v>72</v>
      </c>
      <c r="E12" t="s">
        <v>73</v>
      </c>
      <c r="F12">
        <v>0.26</v>
      </c>
      <c r="G12">
        <v>0.08</v>
      </c>
      <c r="H12">
        <v>0.13</v>
      </c>
      <c r="I12">
        <v>0.13</v>
      </c>
    </row>
    <row r="13" spans="1:9" x14ac:dyDescent="0.25">
      <c r="A13" s="34">
        <v>44750</v>
      </c>
      <c r="B13" t="s">
        <v>74</v>
      </c>
      <c r="C13" t="s">
        <v>45</v>
      </c>
      <c r="D13" t="s">
        <v>56</v>
      </c>
      <c r="E13" t="s">
        <v>75</v>
      </c>
      <c r="F13">
        <v>0.28999999999999998</v>
      </c>
      <c r="G13">
        <v>0</v>
      </c>
      <c r="H13">
        <v>0.1</v>
      </c>
      <c r="I13">
        <v>0.1</v>
      </c>
    </row>
    <row r="14" spans="1:9" x14ac:dyDescent="0.25">
      <c r="A14" s="34">
        <v>44750</v>
      </c>
      <c r="B14" t="s">
        <v>76</v>
      </c>
      <c r="C14" t="s">
        <v>64</v>
      </c>
      <c r="D14" t="s">
        <v>59</v>
      </c>
      <c r="E14" t="s">
        <v>77</v>
      </c>
      <c r="F14">
        <v>0</v>
      </c>
      <c r="G14">
        <v>0.63</v>
      </c>
      <c r="H14">
        <v>0</v>
      </c>
      <c r="I14">
        <v>0</v>
      </c>
    </row>
    <row r="15" spans="1:9" x14ac:dyDescent="0.25">
      <c r="A15" s="34">
        <v>44750</v>
      </c>
      <c r="B15" t="s">
        <v>78</v>
      </c>
      <c r="C15" t="s">
        <v>79</v>
      </c>
      <c r="D15" t="s">
        <v>56</v>
      </c>
      <c r="E15" t="s">
        <v>80</v>
      </c>
      <c r="F15">
        <v>0.19</v>
      </c>
      <c r="G15">
        <v>0.01</v>
      </c>
      <c r="H15">
        <v>0.04</v>
      </c>
      <c r="I15">
        <v>0.04</v>
      </c>
    </row>
    <row r="16" spans="1:9" x14ac:dyDescent="0.25">
      <c r="A16" s="34">
        <v>44749</v>
      </c>
      <c r="B16" t="s">
        <v>81</v>
      </c>
      <c r="C16" t="s">
        <v>45</v>
      </c>
      <c r="D16" t="s">
        <v>56</v>
      </c>
      <c r="E16" t="s">
        <v>82</v>
      </c>
      <c r="F16">
        <v>1.35</v>
      </c>
      <c r="G16">
        <v>0.48</v>
      </c>
      <c r="H16">
        <v>0.47</v>
      </c>
      <c r="I16">
        <v>0.47</v>
      </c>
    </row>
    <row r="17" spans="1:9" x14ac:dyDescent="0.25">
      <c r="A17" s="34">
        <v>44749</v>
      </c>
      <c r="B17" t="s">
        <v>83</v>
      </c>
      <c r="C17" t="s">
        <v>45</v>
      </c>
      <c r="D17" t="s">
        <v>84</v>
      </c>
      <c r="E17" t="s">
        <v>85</v>
      </c>
      <c r="F17">
        <v>0.89</v>
      </c>
      <c r="G17">
        <v>0.05</v>
      </c>
      <c r="H17">
        <v>0.25</v>
      </c>
      <c r="I17">
        <v>0.25</v>
      </c>
    </row>
    <row r="18" spans="1:9" x14ac:dyDescent="0.25">
      <c r="A18" s="34">
        <v>44749</v>
      </c>
      <c r="B18" t="s">
        <v>86</v>
      </c>
      <c r="C18" t="s">
        <v>45</v>
      </c>
      <c r="D18" t="s">
        <v>87</v>
      </c>
      <c r="E18" t="s">
        <v>88</v>
      </c>
      <c r="F18">
        <v>0.69</v>
      </c>
      <c r="G18">
        <v>0.02</v>
      </c>
      <c r="H18">
        <v>0.15</v>
      </c>
      <c r="I18">
        <v>0.15</v>
      </c>
    </row>
    <row r="19" spans="1:9" x14ac:dyDescent="0.25">
      <c r="A19" s="34">
        <v>44749</v>
      </c>
      <c r="B19" t="s">
        <v>89</v>
      </c>
      <c r="C19" t="s">
        <v>90</v>
      </c>
      <c r="D19" t="s">
        <v>84</v>
      </c>
      <c r="E19" t="s">
        <v>91</v>
      </c>
      <c r="F19">
        <v>0.38</v>
      </c>
      <c r="G19">
        <v>0</v>
      </c>
      <c r="H19">
        <v>0.08</v>
      </c>
      <c r="I19">
        <v>0.08</v>
      </c>
    </row>
    <row r="20" spans="1:9" x14ac:dyDescent="0.25">
      <c r="A20" s="34">
        <v>44749</v>
      </c>
      <c r="B20" t="s">
        <v>92</v>
      </c>
      <c r="C20" t="s">
        <v>64</v>
      </c>
      <c r="D20" t="s">
        <v>56</v>
      </c>
      <c r="E20" t="s">
        <v>93</v>
      </c>
      <c r="F20">
        <v>0</v>
      </c>
      <c r="G20">
        <v>0.86</v>
      </c>
      <c r="H20">
        <v>0</v>
      </c>
      <c r="I20">
        <v>0</v>
      </c>
    </row>
    <row r="21" spans="1:9" x14ac:dyDescent="0.25">
      <c r="A21" s="34">
        <v>44749</v>
      </c>
      <c r="B21" t="s">
        <v>94</v>
      </c>
      <c r="C21" t="s">
        <v>45</v>
      </c>
      <c r="D21" t="s">
        <v>56</v>
      </c>
      <c r="E21" t="s">
        <v>95</v>
      </c>
      <c r="F21">
        <v>0.36</v>
      </c>
      <c r="G21">
        <v>0</v>
      </c>
      <c r="H21">
        <v>0.11</v>
      </c>
      <c r="I21">
        <v>0.11</v>
      </c>
    </row>
    <row r="22" spans="1:9" x14ac:dyDescent="0.25">
      <c r="A22" s="34">
        <v>44749</v>
      </c>
      <c r="B22" t="s">
        <v>96</v>
      </c>
      <c r="C22" t="s">
        <v>45</v>
      </c>
      <c r="D22" t="s">
        <v>87</v>
      </c>
      <c r="E22" t="s">
        <v>97</v>
      </c>
      <c r="F22">
        <v>0.44</v>
      </c>
      <c r="G22">
        <v>0.03</v>
      </c>
      <c r="H22">
        <v>0.09</v>
      </c>
      <c r="I22">
        <v>0.09</v>
      </c>
    </row>
    <row r="23" spans="1:9" x14ac:dyDescent="0.25">
      <c r="A23" s="34">
        <v>44749</v>
      </c>
      <c r="B23" t="s">
        <v>98</v>
      </c>
      <c r="C23" t="s">
        <v>99</v>
      </c>
      <c r="D23" t="s">
        <v>100</v>
      </c>
      <c r="E23" t="s">
        <v>101</v>
      </c>
      <c r="F23">
        <v>0.28000000000000003</v>
      </c>
      <c r="G23">
        <v>0</v>
      </c>
      <c r="H23">
        <v>7.0000000000000007E-2</v>
      </c>
      <c r="I23">
        <v>7.0000000000000007E-2</v>
      </c>
    </row>
    <row r="24" spans="1:9" x14ac:dyDescent="0.25">
      <c r="A24" s="34">
        <v>44749</v>
      </c>
      <c r="B24" t="s">
        <v>102</v>
      </c>
      <c r="C24" t="s">
        <v>103</v>
      </c>
      <c r="D24" t="s">
        <v>104</v>
      </c>
      <c r="E24" t="s">
        <v>105</v>
      </c>
      <c r="F24">
        <v>0.1</v>
      </c>
      <c r="G24">
        <v>0.15</v>
      </c>
      <c r="H24">
        <v>7.0000000000000007E-2</v>
      </c>
      <c r="I24">
        <v>7.0000000000000007E-2</v>
      </c>
    </row>
    <row r="25" spans="1:9" x14ac:dyDescent="0.25">
      <c r="A25" s="34">
        <v>44749</v>
      </c>
      <c r="B25" t="s">
        <v>106</v>
      </c>
      <c r="C25" t="s">
        <v>79</v>
      </c>
      <c r="D25" t="s">
        <v>104</v>
      </c>
      <c r="E25" t="s">
        <v>107</v>
      </c>
      <c r="F25">
        <v>0.04</v>
      </c>
      <c r="G25">
        <v>0</v>
      </c>
      <c r="H25">
        <v>0.04</v>
      </c>
      <c r="I25">
        <v>0.04</v>
      </c>
    </row>
    <row r="26" spans="1:9" x14ac:dyDescent="0.25">
      <c r="A26" s="34">
        <v>44748</v>
      </c>
      <c r="B26" t="s">
        <v>98</v>
      </c>
      <c r="C26" t="s">
        <v>108</v>
      </c>
      <c r="D26" t="s">
        <v>100</v>
      </c>
      <c r="E26" t="s">
        <v>109</v>
      </c>
      <c r="F26">
        <v>1.02</v>
      </c>
      <c r="G26">
        <v>0</v>
      </c>
      <c r="H26">
        <v>0.13</v>
      </c>
      <c r="I26">
        <v>0.13</v>
      </c>
    </row>
    <row r="27" spans="1:9" x14ac:dyDescent="0.25">
      <c r="A27" s="34">
        <v>44748</v>
      </c>
      <c r="B27" t="s">
        <v>110</v>
      </c>
      <c r="C27" t="s">
        <v>45</v>
      </c>
      <c r="D27" t="s">
        <v>49</v>
      </c>
      <c r="E27" t="s">
        <v>111</v>
      </c>
      <c r="F27">
        <v>0.56000000000000005</v>
      </c>
      <c r="G27">
        <v>0.04</v>
      </c>
      <c r="H27">
        <v>0.19</v>
      </c>
      <c r="I27">
        <v>0.19</v>
      </c>
    </row>
    <row r="28" spans="1:9" x14ac:dyDescent="0.25">
      <c r="A28" s="34">
        <v>44748</v>
      </c>
      <c r="B28" t="s">
        <v>112</v>
      </c>
      <c r="C28" t="s">
        <v>45</v>
      </c>
      <c r="D28" t="s">
        <v>56</v>
      </c>
      <c r="E28" t="s">
        <v>113</v>
      </c>
      <c r="F28">
        <v>0.3</v>
      </c>
      <c r="G28">
        <v>0.04</v>
      </c>
      <c r="H28">
        <v>0.12</v>
      </c>
      <c r="I28">
        <v>0.12</v>
      </c>
    </row>
    <row r="29" spans="1:9" x14ac:dyDescent="0.25">
      <c r="A29" s="34">
        <v>44748</v>
      </c>
      <c r="B29" t="s">
        <v>114</v>
      </c>
      <c r="C29" t="s">
        <v>45</v>
      </c>
      <c r="D29" t="s">
        <v>49</v>
      </c>
      <c r="E29" t="s">
        <v>115</v>
      </c>
      <c r="F29">
        <v>0.33</v>
      </c>
      <c r="G29">
        <v>0</v>
      </c>
      <c r="H29">
        <v>0.13</v>
      </c>
      <c r="I29">
        <v>0.13</v>
      </c>
    </row>
    <row r="30" spans="1:9" x14ac:dyDescent="0.25">
      <c r="A30" s="34">
        <v>44748</v>
      </c>
      <c r="B30" t="s">
        <v>116</v>
      </c>
      <c r="C30" t="s">
        <v>45</v>
      </c>
      <c r="D30" t="s">
        <v>46</v>
      </c>
      <c r="E30" t="s">
        <v>117</v>
      </c>
      <c r="F30">
        <v>0</v>
      </c>
      <c r="G30">
        <v>0</v>
      </c>
      <c r="H30">
        <v>7.0000000000000007E-2</v>
      </c>
      <c r="I30">
        <v>7.0000000000000007E-2</v>
      </c>
    </row>
    <row r="31" spans="1:9" x14ac:dyDescent="0.25">
      <c r="A31" s="34">
        <v>44748</v>
      </c>
      <c r="B31" t="s">
        <v>118</v>
      </c>
      <c r="C31" t="s">
        <v>108</v>
      </c>
      <c r="D31" t="s">
        <v>56</v>
      </c>
      <c r="E31" t="s">
        <v>119</v>
      </c>
      <c r="F31">
        <v>0.36</v>
      </c>
      <c r="G31">
        <v>0</v>
      </c>
      <c r="H31">
        <v>0.04</v>
      </c>
      <c r="I31">
        <v>0.04</v>
      </c>
    </row>
    <row r="32" spans="1:9" x14ac:dyDescent="0.25">
      <c r="A32" s="34">
        <v>44748</v>
      </c>
      <c r="B32" t="s">
        <v>120</v>
      </c>
      <c r="C32" t="s">
        <v>45</v>
      </c>
      <c r="D32" t="s">
        <v>84</v>
      </c>
      <c r="E32" t="s">
        <v>121</v>
      </c>
      <c r="F32">
        <v>0.25</v>
      </c>
      <c r="G32">
        <v>0.01</v>
      </c>
      <c r="H32">
        <v>0.08</v>
      </c>
      <c r="I32">
        <v>0.08</v>
      </c>
    </row>
    <row r="33" spans="1:9" x14ac:dyDescent="0.25">
      <c r="A33" s="34">
        <v>44747</v>
      </c>
      <c r="B33" t="s">
        <v>122</v>
      </c>
      <c r="C33" t="s">
        <v>64</v>
      </c>
      <c r="D33" t="s">
        <v>59</v>
      </c>
      <c r="E33" t="s">
        <v>123</v>
      </c>
      <c r="F33">
        <v>0</v>
      </c>
      <c r="G33">
        <v>1.51</v>
      </c>
      <c r="H33">
        <v>0</v>
      </c>
      <c r="I33">
        <v>0</v>
      </c>
    </row>
    <row r="34" spans="1:9" x14ac:dyDescent="0.25">
      <c r="A34" s="34">
        <v>44747</v>
      </c>
      <c r="B34" t="s">
        <v>124</v>
      </c>
      <c r="C34" t="s">
        <v>99</v>
      </c>
      <c r="D34" t="s">
        <v>56</v>
      </c>
      <c r="E34" t="s">
        <v>125</v>
      </c>
      <c r="F34">
        <v>0.11</v>
      </c>
      <c r="G34">
        <v>0.34</v>
      </c>
      <c r="H34">
        <v>0.05</v>
      </c>
      <c r="I34">
        <v>0.05</v>
      </c>
    </row>
    <row r="35" spans="1:9" x14ac:dyDescent="0.25">
      <c r="A35" s="34">
        <v>44747</v>
      </c>
      <c r="B35" t="s">
        <v>126</v>
      </c>
      <c r="C35" t="s">
        <v>64</v>
      </c>
      <c r="D35" t="s">
        <v>59</v>
      </c>
      <c r="E35" t="s">
        <v>127</v>
      </c>
      <c r="F35">
        <v>0</v>
      </c>
      <c r="G35">
        <v>0.27</v>
      </c>
      <c r="H35">
        <v>0.02</v>
      </c>
      <c r="I35">
        <v>0.02</v>
      </c>
    </row>
    <row r="36" spans="1:9" x14ac:dyDescent="0.25">
      <c r="A36" s="34">
        <v>44747</v>
      </c>
      <c r="B36" t="s">
        <v>128</v>
      </c>
      <c r="C36" t="s">
        <v>90</v>
      </c>
      <c r="D36" t="s">
        <v>49</v>
      </c>
      <c r="E36" t="s">
        <v>129</v>
      </c>
      <c r="F36">
        <v>0.15</v>
      </c>
      <c r="G36">
        <v>0</v>
      </c>
      <c r="H36">
        <v>0.04</v>
      </c>
      <c r="I36">
        <v>0.04</v>
      </c>
    </row>
    <row r="37" spans="1:9" x14ac:dyDescent="0.25">
      <c r="A37" s="34">
        <v>44747</v>
      </c>
      <c r="B37" t="s">
        <v>130</v>
      </c>
      <c r="C37" t="s">
        <v>64</v>
      </c>
      <c r="D37" t="s">
        <v>59</v>
      </c>
      <c r="E37" t="s">
        <v>131</v>
      </c>
      <c r="F37">
        <v>0.13</v>
      </c>
      <c r="G37">
        <v>0.04</v>
      </c>
      <c r="H37">
        <v>0.04</v>
      </c>
      <c r="I37">
        <v>0.04</v>
      </c>
    </row>
    <row r="38" spans="1:9" x14ac:dyDescent="0.25">
      <c r="A38" s="34">
        <v>44747</v>
      </c>
      <c r="B38" t="s">
        <v>132</v>
      </c>
      <c r="C38" t="s">
        <v>64</v>
      </c>
      <c r="D38" t="s">
        <v>56</v>
      </c>
      <c r="E38" t="s">
        <v>133</v>
      </c>
      <c r="F38">
        <v>0</v>
      </c>
      <c r="G38">
        <v>0.41</v>
      </c>
      <c r="H38">
        <v>0</v>
      </c>
      <c r="I38">
        <v>0</v>
      </c>
    </row>
    <row r="39" spans="1:9" x14ac:dyDescent="0.25">
      <c r="A39" s="34">
        <v>44746</v>
      </c>
      <c r="B39" t="s">
        <v>134</v>
      </c>
      <c r="C39" t="s">
        <v>108</v>
      </c>
      <c r="D39" t="s">
        <v>56</v>
      </c>
      <c r="E39" t="s">
        <v>135</v>
      </c>
      <c r="F39">
        <v>1.06</v>
      </c>
      <c r="G39">
        <v>0</v>
      </c>
      <c r="H39">
        <v>0.28999999999999998</v>
      </c>
      <c r="I39">
        <v>0.28999999999999998</v>
      </c>
    </row>
    <row r="40" spans="1:9" x14ac:dyDescent="0.25">
      <c r="A40" s="34">
        <v>44746</v>
      </c>
      <c r="B40" t="s">
        <v>136</v>
      </c>
      <c r="C40" t="s">
        <v>99</v>
      </c>
      <c r="D40" t="s">
        <v>56</v>
      </c>
      <c r="E40" t="s">
        <v>137</v>
      </c>
      <c r="F40">
        <v>0.62</v>
      </c>
      <c r="G40">
        <v>0</v>
      </c>
      <c r="H40">
        <v>0.26</v>
      </c>
      <c r="I40">
        <v>0.26</v>
      </c>
    </row>
    <row r="41" spans="1:9" x14ac:dyDescent="0.25">
      <c r="A41" s="34">
        <v>44746</v>
      </c>
      <c r="B41" t="s">
        <v>138</v>
      </c>
      <c r="C41" t="s">
        <v>64</v>
      </c>
      <c r="D41" t="s">
        <v>56</v>
      </c>
      <c r="E41" t="s">
        <v>139</v>
      </c>
      <c r="F41">
        <v>0.17</v>
      </c>
      <c r="G41">
        <v>0.28999999999999998</v>
      </c>
      <c r="H41">
        <v>0.05</v>
      </c>
      <c r="I41">
        <v>0.05</v>
      </c>
    </row>
    <row r="42" spans="1:9" x14ac:dyDescent="0.25">
      <c r="A42" s="34">
        <v>44746</v>
      </c>
      <c r="B42" t="s">
        <v>120</v>
      </c>
      <c r="C42" t="s">
        <v>99</v>
      </c>
      <c r="D42" t="s">
        <v>84</v>
      </c>
      <c r="E42" t="s">
        <v>140</v>
      </c>
      <c r="F42">
        <v>0.25</v>
      </c>
      <c r="G42">
        <v>0.03</v>
      </c>
      <c r="H42">
        <v>0.11</v>
      </c>
      <c r="I42">
        <v>0.11</v>
      </c>
    </row>
    <row r="43" spans="1:9" x14ac:dyDescent="0.25">
      <c r="A43" s="34">
        <v>44746</v>
      </c>
      <c r="B43" t="s">
        <v>141</v>
      </c>
      <c r="C43" t="s">
        <v>64</v>
      </c>
      <c r="D43" t="s">
        <v>59</v>
      </c>
      <c r="E43" t="s">
        <v>142</v>
      </c>
      <c r="F43">
        <v>0</v>
      </c>
      <c r="G43">
        <v>0.21</v>
      </c>
      <c r="H43">
        <v>0.03</v>
      </c>
      <c r="I43">
        <v>0.03</v>
      </c>
    </row>
    <row r="44" spans="1:9" x14ac:dyDescent="0.25">
      <c r="A44" s="34">
        <v>44745</v>
      </c>
      <c r="B44" t="s">
        <v>143</v>
      </c>
      <c r="C44" t="s">
        <v>144</v>
      </c>
      <c r="D44" t="s">
        <v>46</v>
      </c>
      <c r="E44" t="s">
        <v>145</v>
      </c>
      <c r="F44">
        <v>1.07</v>
      </c>
      <c r="G44">
        <v>0</v>
      </c>
      <c r="H44">
        <v>0.28000000000000003</v>
      </c>
      <c r="I44">
        <v>0.28000000000000003</v>
      </c>
    </row>
    <row r="45" spans="1:9" x14ac:dyDescent="0.25">
      <c r="A45" s="34">
        <v>44745</v>
      </c>
      <c r="B45" t="s">
        <v>146</v>
      </c>
      <c r="C45" t="s">
        <v>90</v>
      </c>
      <c r="D45" t="s">
        <v>49</v>
      </c>
      <c r="E45" t="s">
        <v>147</v>
      </c>
      <c r="F45">
        <v>0.51</v>
      </c>
      <c r="G45">
        <v>0.01</v>
      </c>
      <c r="H45">
        <v>0.17</v>
      </c>
      <c r="I45">
        <v>0.17</v>
      </c>
    </row>
    <row r="46" spans="1:9" x14ac:dyDescent="0.25">
      <c r="A46" s="34">
        <v>44745</v>
      </c>
      <c r="B46" t="s">
        <v>148</v>
      </c>
      <c r="C46" t="s">
        <v>144</v>
      </c>
      <c r="D46" t="s">
        <v>56</v>
      </c>
      <c r="E46" t="s">
        <v>149</v>
      </c>
      <c r="F46">
        <v>0.66</v>
      </c>
      <c r="G46">
        <v>0</v>
      </c>
      <c r="H46">
        <v>0.17</v>
      </c>
      <c r="I46">
        <v>0.17</v>
      </c>
    </row>
    <row r="47" spans="1:9" x14ac:dyDescent="0.25">
      <c r="A47" s="34">
        <v>44745</v>
      </c>
      <c r="B47" t="s">
        <v>146</v>
      </c>
      <c r="C47" t="s">
        <v>99</v>
      </c>
      <c r="D47" t="s">
        <v>49</v>
      </c>
      <c r="E47" t="s">
        <v>150</v>
      </c>
      <c r="F47">
        <v>0.63</v>
      </c>
      <c r="G47">
        <v>0.02</v>
      </c>
      <c r="H47">
        <v>0.25</v>
      </c>
      <c r="I47">
        <v>0.25</v>
      </c>
    </row>
    <row r="48" spans="1:9" x14ac:dyDescent="0.25">
      <c r="A48" s="34">
        <v>44745</v>
      </c>
      <c r="B48" t="s">
        <v>151</v>
      </c>
      <c r="C48" t="s">
        <v>152</v>
      </c>
      <c r="D48" t="s">
        <v>153</v>
      </c>
      <c r="E48" t="s">
        <v>154</v>
      </c>
      <c r="F48">
        <v>0.15</v>
      </c>
      <c r="G48">
        <v>0</v>
      </c>
      <c r="H48">
        <v>0.08</v>
      </c>
      <c r="I48">
        <v>0.08</v>
      </c>
    </row>
    <row r="49" spans="1:9" x14ac:dyDescent="0.25">
      <c r="A49" s="34">
        <v>44745</v>
      </c>
      <c r="B49" t="s">
        <v>155</v>
      </c>
      <c r="C49" t="s">
        <v>156</v>
      </c>
      <c r="D49" t="s">
        <v>59</v>
      </c>
      <c r="E49" t="s">
        <v>157</v>
      </c>
      <c r="F49">
        <v>0</v>
      </c>
      <c r="G49">
        <v>0.81</v>
      </c>
      <c r="H49">
        <v>0</v>
      </c>
      <c r="I49">
        <v>0</v>
      </c>
    </row>
    <row r="50" spans="1:9" x14ac:dyDescent="0.25">
      <c r="A50" s="34">
        <v>44745</v>
      </c>
      <c r="B50" t="s">
        <v>158</v>
      </c>
      <c r="C50" t="s">
        <v>99</v>
      </c>
      <c r="D50" t="s">
        <v>49</v>
      </c>
      <c r="E50" t="s">
        <v>159</v>
      </c>
      <c r="F50">
        <v>0.36</v>
      </c>
      <c r="G50">
        <v>0.04</v>
      </c>
      <c r="H50">
        <v>0.14000000000000001</v>
      </c>
      <c r="I50">
        <v>0.14000000000000001</v>
      </c>
    </row>
    <row r="51" spans="1:9" x14ac:dyDescent="0.25">
      <c r="A51" s="34">
        <v>44745</v>
      </c>
      <c r="B51" t="s">
        <v>160</v>
      </c>
      <c r="C51" t="s">
        <v>144</v>
      </c>
      <c r="D51" t="s">
        <v>104</v>
      </c>
      <c r="E51" t="s">
        <v>161</v>
      </c>
      <c r="F51">
        <v>0.04</v>
      </c>
      <c r="G51">
        <v>0</v>
      </c>
      <c r="H51">
        <v>0.04</v>
      </c>
      <c r="I51">
        <v>0.04</v>
      </c>
    </row>
    <row r="52" spans="1:9" x14ac:dyDescent="0.25">
      <c r="A52" s="34">
        <v>44745</v>
      </c>
      <c r="B52" t="s">
        <v>162</v>
      </c>
      <c r="C52" t="s">
        <v>99</v>
      </c>
      <c r="D52" t="s">
        <v>56</v>
      </c>
      <c r="E52" t="s">
        <v>163</v>
      </c>
      <c r="F52">
        <v>0.04</v>
      </c>
      <c r="G52">
        <v>0.56999999999999995</v>
      </c>
      <c r="H52">
        <v>0.01</v>
      </c>
      <c r="I52">
        <v>0.01</v>
      </c>
    </row>
    <row r="53" spans="1:9" x14ac:dyDescent="0.25">
      <c r="A53" s="34">
        <v>44745</v>
      </c>
      <c r="B53" t="s">
        <v>164</v>
      </c>
      <c r="C53" t="s">
        <v>99</v>
      </c>
      <c r="D53" t="s">
        <v>59</v>
      </c>
      <c r="E53" t="s">
        <v>165</v>
      </c>
      <c r="F53">
        <v>0.12</v>
      </c>
      <c r="G53">
        <v>0</v>
      </c>
      <c r="H53">
        <v>0.06</v>
      </c>
      <c r="I53">
        <v>0.06</v>
      </c>
    </row>
    <row r="54" spans="1:9" x14ac:dyDescent="0.25">
      <c r="A54" s="34">
        <v>44745</v>
      </c>
      <c r="B54" t="s">
        <v>166</v>
      </c>
      <c r="C54" t="s">
        <v>144</v>
      </c>
      <c r="D54" t="s">
        <v>104</v>
      </c>
      <c r="E54" t="s">
        <v>167</v>
      </c>
      <c r="F54">
        <v>0</v>
      </c>
      <c r="G54">
        <v>0</v>
      </c>
      <c r="H54">
        <v>0.03</v>
      </c>
      <c r="I54">
        <v>0.03</v>
      </c>
    </row>
    <row r="55" spans="1:9" x14ac:dyDescent="0.25">
      <c r="A55" s="34">
        <v>44745</v>
      </c>
      <c r="B55" t="s">
        <v>168</v>
      </c>
      <c r="C55" t="s">
        <v>64</v>
      </c>
      <c r="D55" t="s">
        <v>169</v>
      </c>
      <c r="E55" t="s">
        <v>170</v>
      </c>
      <c r="F55">
        <v>0.13</v>
      </c>
      <c r="G55">
        <v>0.06</v>
      </c>
      <c r="H55">
        <v>0.03</v>
      </c>
      <c r="I55">
        <v>0.03</v>
      </c>
    </row>
    <row r="56" spans="1:9" x14ac:dyDescent="0.25">
      <c r="A56" s="34">
        <v>44745</v>
      </c>
      <c r="B56" t="s">
        <v>171</v>
      </c>
      <c r="C56" t="s">
        <v>156</v>
      </c>
      <c r="D56" t="s">
        <v>153</v>
      </c>
      <c r="E56" t="s">
        <v>172</v>
      </c>
      <c r="F56">
        <v>0</v>
      </c>
      <c r="G56">
        <v>0.42</v>
      </c>
      <c r="H56">
        <v>0</v>
      </c>
      <c r="I56">
        <v>0</v>
      </c>
    </row>
    <row r="57" spans="1:9" x14ac:dyDescent="0.25">
      <c r="A57" s="34">
        <v>44745</v>
      </c>
      <c r="B57" t="s">
        <v>173</v>
      </c>
      <c r="C57" t="s">
        <v>64</v>
      </c>
      <c r="D57" t="s">
        <v>59</v>
      </c>
      <c r="E57" t="s">
        <v>174</v>
      </c>
      <c r="F57">
        <v>0.01</v>
      </c>
      <c r="G57">
        <v>0.06</v>
      </c>
      <c r="H57">
        <v>0.02</v>
      </c>
      <c r="I57">
        <v>0.02</v>
      </c>
    </row>
    <row r="58" spans="1:9" x14ac:dyDescent="0.25">
      <c r="A58" s="34">
        <v>44744</v>
      </c>
      <c r="B58" t="s">
        <v>175</v>
      </c>
      <c r="C58" t="s">
        <v>90</v>
      </c>
      <c r="D58" t="s">
        <v>104</v>
      </c>
      <c r="E58" t="s">
        <v>176</v>
      </c>
      <c r="F58">
        <v>0.77</v>
      </c>
      <c r="G58">
        <v>0.01</v>
      </c>
      <c r="H58">
        <v>0.26</v>
      </c>
      <c r="I58">
        <v>0.26</v>
      </c>
    </row>
    <row r="59" spans="1:9" x14ac:dyDescent="0.25">
      <c r="A59" s="34">
        <v>44744</v>
      </c>
      <c r="B59" t="s">
        <v>177</v>
      </c>
      <c r="C59" t="s">
        <v>152</v>
      </c>
      <c r="D59" t="s">
        <v>100</v>
      </c>
      <c r="E59" t="s">
        <v>178</v>
      </c>
      <c r="F59">
        <v>0.06</v>
      </c>
      <c r="G59">
        <v>0.22</v>
      </c>
      <c r="H59">
        <v>0.03</v>
      </c>
      <c r="I59">
        <v>0.03</v>
      </c>
    </row>
    <row r="60" spans="1:9" x14ac:dyDescent="0.25">
      <c r="A60" s="34">
        <v>44744</v>
      </c>
      <c r="B60" t="s">
        <v>179</v>
      </c>
      <c r="C60" t="s">
        <v>152</v>
      </c>
      <c r="D60" t="s">
        <v>169</v>
      </c>
      <c r="E60" t="s">
        <v>180</v>
      </c>
      <c r="F60">
        <v>0.09</v>
      </c>
      <c r="G60">
        <v>0</v>
      </c>
      <c r="H60">
        <v>0.04</v>
      </c>
      <c r="I60">
        <v>0.04</v>
      </c>
    </row>
    <row r="61" spans="1:9" x14ac:dyDescent="0.25">
      <c r="A61" s="34">
        <v>44744</v>
      </c>
      <c r="B61" t="s">
        <v>181</v>
      </c>
      <c r="C61" t="s">
        <v>144</v>
      </c>
      <c r="D61" t="s">
        <v>104</v>
      </c>
      <c r="E61" t="s">
        <v>182</v>
      </c>
      <c r="F61">
        <v>0.41</v>
      </c>
      <c r="G61">
        <v>0</v>
      </c>
      <c r="H61">
        <v>0.06</v>
      </c>
      <c r="I61">
        <v>0.06</v>
      </c>
    </row>
    <row r="62" spans="1:9" x14ac:dyDescent="0.25">
      <c r="A62" s="34">
        <v>44744</v>
      </c>
      <c r="B62" t="s">
        <v>183</v>
      </c>
      <c r="C62" t="s">
        <v>152</v>
      </c>
      <c r="D62" t="s">
        <v>46</v>
      </c>
      <c r="E62" t="s">
        <v>184</v>
      </c>
      <c r="F62">
        <v>0</v>
      </c>
      <c r="G62">
        <v>0</v>
      </c>
      <c r="H62">
        <v>0.02</v>
      </c>
      <c r="I62">
        <v>0.02</v>
      </c>
    </row>
    <row r="63" spans="1:9" x14ac:dyDescent="0.25">
      <c r="A63" s="34">
        <v>44744</v>
      </c>
      <c r="B63" t="s">
        <v>185</v>
      </c>
      <c r="C63" t="s">
        <v>99</v>
      </c>
      <c r="D63" t="s">
        <v>72</v>
      </c>
      <c r="E63" t="s">
        <v>186</v>
      </c>
      <c r="F63">
        <v>0.08</v>
      </c>
      <c r="G63">
        <v>0.09</v>
      </c>
      <c r="H63">
        <v>0.04</v>
      </c>
      <c r="I63">
        <v>0.04</v>
      </c>
    </row>
    <row r="64" spans="1:9" x14ac:dyDescent="0.25">
      <c r="A64" s="34">
        <v>44744</v>
      </c>
      <c r="B64" t="s">
        <v>187</v>
      </c>
      <c r="C64" t="s">
        <v>99</v>
      </c>
      <c r="D64" t="s">
        <v>46</v>
      </c>
      <c r="E64" t="s">
        <v>188</v>
      </c>
      <c r="F64">
        <v>0.17</v>
      </c>
      <c r="G64">
        <v>0</v>
      </c>
      <c r="H64">
        <v>7.0000000000000007E-2</v>
      </c>
      <c r="I64">
        <v>7.0000000000000007E-2</v>
      </c>
    </row>
    <row r="65" spans="1:9" x14ac:dyDescent="0.25">
      <c r="A65" s="34">
        <v>44743</v>
      </c>
      <c r="B65" t="s">
        <v>189</v>
      </c>
      <c r="C65" t="s">
        <v>99</v>
      </c>
      <c r="D65" t="s">
        <v>56</v>
      </c>
      <c r="E65" t="s">
        <v>190</v>
      </c>
      <c r="F65">
        <v>1.34</v>
      </c>
      <c r="G65">
        <v>7.0000000000000007E-2</v>
      </c>
      <c r="H65">
        <v>0.61</v>
      </c>
      <c r="I65">
        <v>0.61</v>
      </c>
    </row>
    <row r="66" spans="1:9" x14ac:dyDescent="0.25">
      <c r="A66" s="34">
        <v>44743</v>
      </c>
      <c r="B66" t="s">
        <v>191</v>
      </c>
      <c r="C66" t="s">
        <v>144</v>
      </c>
      <c r="D66" t="s">
        <v>104</v>
      </c>
      <c r="E66" t="s">
        <v>192</v>
      </c>
      <c r="F66">
        <v>0</v>
      </c>
      <c r="G66">
        <v>0</v>
      </c>
      <c r="H66">
        <v>0.12</v>
      </c>
      <c r="I66">
        <v>0.12</v>
      </c>
    </row>
    <row r="67" spans="1:9" x14ac:dyDescent="0.25">
      <c r="A67" s="34">
        <v>44743</v>
      </c>
      <c r="B67" t="s">
        <v>193</v>
      </c>
      <c r="C67" t="s">
        <v>144</v>
      </c>
      <c r="D67" t="s">
        <v>46</v>
      </c>
      <c r="E67" t="s">
        <v>194</v>
      </c>
      <c r="F67">
        <v>0</v>
      </c>
      <c r="G67">
        <v>0</v>
      </c>
      <c r="H67">
        <v>0.12</v>
      </c>
      <c r="I67">
        <v>0.12</v>
      </c>
    </row>
    <row r="68" spans="1:9" x14ac:dyDescent="0.25">
      <c r="A68" s="34">
        <v>44743</v>
      </c>
      <c r="B68" t="s">
        <v>195</v>
      </c>
      <c r="C68" t="s">
        <v>144</v>
      </c>
      <c r="D68" t="s">
        <v>104</v>
      </c>
      <c r="E68" t="s">
        <v>196</v>
      </c>
      <c r="F68">
        <v>0</v>
      </c>
      <c r="G68">
        <v>0</v>
      </c>
      <c r="H68">
        <v>0.09</v>
      </c>
      <c r="I68">
        <v>0.09</v>
      </c>
    </row>
    <row r="69" spans="1:9" x14ac:dyDescent="0.25">
      <c r="A69" s="34">
        <v>44743</v>
      </c>
      <c r="B69" t="s">
        <v>197</v>
      </c>
      <c r="C69" t="s">
        <v>144</v>
      </c>
      <c r="D69" t="s">
        <v>56</v>
      </c>
      <c r="E69" t="s">
        <v>198</v>
      </c>
      <c r="F69">
        <v>0.21</v>
      </c>
      <c r="G69">
        <v>0</v>
      </c>
      <c r="H69">
        <v>0.08</v>
      </c>
      <c r="I69">
        <v>0.08</v>
      </c>
    </row>
    <row r="70" spans="1:9" x14ac:dyDescent="0.25">
      <c r="A70" s="34">
        <v>44743</v>
      </c>
      <c r="B70" t="s">
        <v>199</v>
      </c>
      <c r="C70" t="s">
        <v>144</v>
      </c>
      <c r="D70" t="s">
        <v>46</v>
      </c>
      <c r="E70" t="s">
        <v>200</v>
      </c>
      <c r="F70">
        <v>0.34</v>
      </c>
      <c r="G70">
        <v>0.09</v>
      </c>
      <c r="H70">
        <v>7.0000000000000007E-2</v>
      </c>
      <c r="I70">
        <v>7.0000000000000007E-2</v>
      </c>
    </row>
    <row r="71" spans="1:9" x14ac:dyDescent="0.25">
      <c r="A71" s="34">
        <v>44743</v>
      </c>
      <c r="B71" t="s">
        <v>183</v>
      </c>
      <c r="C71" t="s">
        <v>144</v>
      </c>
      <c r="D71" t="s">
        <v>46</v>
      </c>
      <c r="E71" t="s">
        <v>201</v>
      </c>
      <c r="F71">
        <v>0.04</v>
      </c>
      <c r="G71">
        <v>0</v>
      </c>
      <c r="H71">
        <v>0.05</v>
      </c>
      <c r="I71">
        <v>0.05</v>
      </c>
    </row>
    <row r="72" spans="1:9" x14ac:dyDescent="0.25">
      <c r="A72" s="34">
        <v>44743</v>
      </c>
      <c r="B72" t="s">
        <v>202</v>
      </c>
      <c r="C72" t="s">
        <v>152</v>
      </c>
      <c r="D72" t="s">
        <v>84</v>
      </c>
      <c r="E72" t="s">
        <v>203</v>
      </c>
      <c r="F72">
        <v>0.43</v>
      </c>
      <c r="G72">
        <v>0</v>
      </c>
      <c r="H72">
        <v>0.05</v>
      </c>
      <c r="I72">
        <v>0.05</v>
      </c>
    </row>
    <row r="73" spans="1:9" x14ac:dyDescent="0.25">
      <c r="A73" s="34">
        <v>44743</v>
      </c>
      <c r="B73" t="s">
        <v>204</v>
      </c>
      <c r="C73" t="s">
        <v>144</v>
      </c>
      <c r="D73" t="s">
        <v>56</v>
      </c>
      <c r="E73" t="s">
        <v>205</v>
      </c>
      <c r="F73">
        <v>0.04</v>
      </c>
      <c r="G73">
        <v>0</v>
      </c>
      <c r="H73">
        <v>0.05</v>
      </c>
      <c r="I73">
        <v>0.05</v>
      </c>
    </row>
    <row r="74" spans="1:9" x14ac:dyDescent="0.25">
      <c r="A74" s="34">
        <v>44743</v>
      </c>
      <c r="B74" t="s">
        <v>206</v>
      </c>
      <c r="C74" t="s">
        <v>90</v>
      </c>
      <c r="D74" t="s">
        <v>46</v>
      </c>
      <c r="E74" t="s">
        <v>207</v>
      </c>
      <c r="F74">
        <v>0</v>
      </c>
      <c r="G74">
        <v>0</v>
      </c>
      <c r="H74">
        <v>0.05</v>
      </c>
      <c r="I74">
        <v>0.05</v>
      </c>
    </row>
    <row r="75" spans="1:9" x14ac:dyDescent="0.25">
      <c r="A75" s="34">
        <v>44743</v>
      </c>
      <c r="B75" t="s">
        <v>208</v>
      </c>
      <c r="C75" t="s">
        <v>99</v>
      </c>
      <c r="D75" t="s">
        <v>59</v>
      </c>
      <c r="E75" t="s">
        <v>209</v>
      </c>
      <c r="F75">
        <v>0.12</v>
      </c>
      <c r="G75">
        <v>0.03</v>
      </c>
      <c r="H75">
        <v>7.0000000000000007E-2</v>
      </c>
      <c r="I75">
        <v>7.0000000000000007E-2</v>
      </c>
    </row>
    <row r="76" spans="1:9" x14ac:dyDescent="0.25">
      <c r="A76" s="34">
        <v>44743</v>
      </c>
      <c r="B76" t="s">
        <v>210</v>
      </c>
      <c r="C76" t="s">
        <v>152</v>
      </c>
      <c r="D76" t="s">
        <v>104</v>
      </c>
      <c r="E76" t="s">
        <v>211</v>
      </c>
      <c r="F76">
        <v>0</v>
      </c>
      <c r="G76">
        <v>0</v>
      </c>
      <c r="H76">
        <v>0.04</v>
      </c>
      <c r="I76">
        <v>0.04</v>
      </c>
    </row>
    <row r="77" spans="1:9" x14ac:dyDescent="0.25">
      <c r="A77" s="34">
        <v>44743</v>
      </c>
      <c r="B77" t="s">
        <v>212</v>
      </c>
      <c r="C77" t="s">
        <v>144</v>
      </c>
      <c r="D77" t="s">
        <v>46</v>
      </c>
      <c r="E77" t="s">
        <v>213</v>
      </c>
      <c r="F77">
        <v>0</v>
      </c>
      <c r="G77">
        <v>0</v>
      </c>
      <c r="H77">
        <v>0.03</v>
      </c>
      <c r="I77">
        <v>0.03</v>
      </c>
    </row>
    <row r="78" spans="1:9" x14ac:dyDescent="0.25">
      <c r="A78" s="34">
        <v>44743</v>
      </c>
      <c r="B78" t="s">
        <v>214</v>
      </c>
      <c r="C78" t="s">
        <v>144</v>
      </c>
      <c r="D78" t="s">
        <v>104</v>
      </c>
      <c r="E78" t="s">
        <v>215</v>
      </c>
      <c r="F78">
        <v>0</v>
      </c>
      <c r="G78">
        <v>0</v>
      </c>
      <c r="H78">
        <v>0.03</v>
      </c>
      <c r="I78">
        <v>0.03</v>
      </c>
    </row>
    <row r="79" spans="1:9" x14ac:dyDescent="0.25">
      <c r="A79" s="34">
        <v>44743</v>
      </c>
      <c r="B79" t="s">
        <v>216</v>
      </c>
      <c r="C79" t="s">
        <v>152</v>
      </c>
      <c r="D79" t="s">
        <v>84</v>
      </c>
      <c r="E79" t="s">
        <v>217</v>
      </c>
      <c r="F79">
        <v>0</v>
      </c>
      <c r="G79">
        <v>0.03</v>
      </c>
      <c r="H79">
        <v>0.03</v>
      </c>
      <c r="I79">
        <v>0.03</v>
      </c>
    </row>
    <row r="80" spans="1:9" x14ac:dyDescent="0.25">
      <c r="A80" s="34">
        <v>44743</v>
      </c>
      <c r="B80" t="s">
        <v>218</v>
      </c>
      <c r="C80" t="s">
        <v>152</v>
      </c>
      <c r="D80" t="s">
        <v>104</v>
      </c>
      <c r="E80" t="s">
        <v>219</v>
      </c>
      <c r="F80">
        <v>0</v>
      </c>
      <c r="G80">
        <v>0</v>
      </c>
      <c r="H80">
        <v>0.03</v>
      </c>
      <c r="I80">
        <v>0.03</v>
      </c>
    </row>
    <row r="81" spans="1:9" x14ac:dyDescent="0.25">
      <c r="A81" s="34">
        <v>44743</v>
      </c>
      <c r="B81" t="s">
        <v>220</v>
      </c>
      <c r="C81" t="s">
        <v>152</v>
      </c>
      <c r="D81" t="s">
        <v>104</v>
      </c>
      <c r="E81" t="s">
        <v>221</v>
      </c>
      <c r="F81">
        <v>0.09</v>
      </c>
      <c r="G81">
        <v>0</v>
      </c>
      <c r="H81">
        <v>0.03</v>
      </c>
      <c r="I81">
        <v>0.03</v>
      </c>
    </row>
    <row r="82" spans="1:9" x14ac:dyDescent="0.25">
      <c r="A82" s="34">
        <v>44743</v>
      </c>
      <c r="B82" t="s">
        <v>222</v>
      </c>
      <c r="C82" t="s">
        <v>144</v>
      </c>
      <c r="D82" t="s">
        <v>104</v>
      </c>
      <c r="E82" t="s">
        <v>223</v>
      </c>
      <c r="F82">
        <v>0.35</v>
      </c>
      <c r="G82">
        <v>0</v>
      </c>
      <c r="H82">
        <v>0.03</v>
      </c>
      <c r="I82">
        <v>0.03</v>
      </c>
    </row>
    <row r="83" spans="1:9" x14ac:dyDescent="0.25">
      <c r="A83" s="34">
        <v>44742</v>
      </c>
      <c r="B83" t="s">
        <v>224</v>
      </c>
      <c r="C83" t="s">
        <v>99</v>
      </c>
      <c r="D83" t="s">
        <v>72</v>
      </c>
      <c r="E83" t="s">
        <v>225</v>
      </c>
      <c r="F83">
        <v>0.3</v>
      </c>
      <c r="G83">
        <v>0</v>
      </c>
      <c r="H83">
        <v>0.22</v>
      </c>
      <c r="I83">
        <v>0.22</v>
      </c>
    </row>
    <row r="84" spans="1:9" x14ac:dyDescent="0.25">
      <c r="A84" s="34">
        <v>44742</v>
      </c>
      <c r="B84" t="s">
        <v>226</v>
      </c>
      <c r="C84" t="s">
        <v>152</v>
      </c>
      <c r="D84" t="s">
        <v>100</v>
      </c>
      <c r="E84" t="s">
        <v>227</v>
      </c>
      <c r="F84">
        <v>0.1</v>
      </c>
      <c r="G84">
        <v>0</v>
      </c>
      <c r="H84">
        <v>0.06</v>
      </c>
      <c r="I84">
        <v>0.06</v>
      </c>
    </row>
    <row r="85" spans="1:9" x14ac:dyDescent="0.25">
      <c r="A85" s="34">
        <v>44742</v>
      </c>
      <c r="B85" t="s">
        <v>228</v>
      </c>
      <c r="C85" t="s">
        <v>90</v>
      </c>
      <c r="D85" t="s">
        <v>56</v>
      </c>
      <c r="E85" t="s">
        <v>229</v>
      </c>
      <c r="F85">
        <v>0.21</v>
      </c>
      <c r="G85">
        <v>0.01</v>
      </c>
      <c r="H85">
        <v>7.0000000000000007E-2</v>
      </c>
      <c r="I85">
        <v>7.0000000000000007E-2</v>
      </c>
    </row>
    <row r="86" spans="1:9" x14ac:dyDescent="0.25">
      <c r="A86" s="34">
        <v>44742</v>
      </c>
      <c r="B86" t="s">
        <v>230</v>
      </c>
      <c r="C86" t="s">
        <v>144</v>
      </c>
      <c r="D86" t="s">
        <v>231</v>
      </c>
      <c r="E86" t="s">
        <v>232</v>
      </c>
      <c r="F86">
        <v>0.18</v>
      </c>
      <c r="G86">
        <v>0</v>
      </c>
      <c r="H86">
        <v>0.05</v>
      </c>
      <c r="I86">
        <v>0.05</v>
      </c>
    </row>
    <row r="87" spans="1:9" x14ac:dyDescent="0.25">
      <c r="A87" s="34">
        <v>44742</v>
      </c>
      <c r="B87" t="s">
        <v>233</v>
      </c>
      <c r="C87" t="s">
        <v>144</v>
      </c>
      <c r="D87" t="s">
        <v>87</v>
      </c>
      <c r="E87" t="s">
        <v>234</v>
      </c>
      <c r="F87">
        <v>0.4</v>
      </c>
      <c r="G87">
        <v>0</v>
      </c>
      <c r="H87">
        <v>7.0000000000000007E-2</v>
      </c>
      <c r="I87">
        <v>7.0000000000000007E-2</v>
      </c>
    </row>
    <row r="88" spans="1:9" x14ac:dyDescent="0.25">
      <c r="A88" s="34">
        <v>44742</v>
      </c>
      <c r="B88" t="s">
        <v>235</v>
      </c>
      <c r="C88" t="s">
        <v>152</v>
      </c>
      <c r="D88" t="s">
        <v>169</v>
      </c>
      <c r="E88" t="s">
        <v>236</v>
      </c>
      <c r="F88">
        <v>0.08</v>
      </c>
      <c r="G88">
        <v>0</v>
      </c>
      <c r="H88">
        <v>0.04</v>
      </c>
      <c r="I88">
        <v>0.04</v>
      </c>
    </row>
    <row r="89" spans="1:9" x14ac:dyDescent="0.25">
      <c r="A89" s="34">
        <v>44742</v>
      </c>
      <c r="B89" t="s">
        <v>237</v>
      </c>
      <c r="C89" t="s">
        <v>99</v>
      </c>
      <c r="D89" t="s">
        <v>56</v>
      </c>
      <c r="E89" t="s">
        <v>238</v>
      </c>
      <c r="F89">
        <v>0.08</v>
      </c>
      <c r="G89">
        <v>0.22</v>
      </c>
      <c r="H89">
        <v>0.04</v>
      </c>
      <c r="I89">
        <v>0.04</v>
      </c>
    </row>
    <row r="90" spans="1:9" x14ac:dyDescent="0.25">
      <c r="A90" s="34">
        <v>44742</v>
      </c>
      <c r="B90" t="s">
        <v>239</v>
      </c>
      <c r="C90" t="s">
        <v>144</v>
      </c>
      <c r="D90" t="s">
        <v>84</v>
      </c>
      <c r="E90" t="s">
        <v>240</v>
      </c>
      <c r="F90">
        <v>0</v>
      </c>
      <c r="G90">
        <v>0</v>
      </c>
      <c r="H90">
        <v>0.03</v>
      </c>
      <c r="I90">
        <v>0.03</v>
      </c>
    </row>
    <row r="91" spans="1:9" x14ac:dyDescent="0.25">
      <c r="A91" s="34">
        <v>44742</v>
      </c>
      <c r="B91" t="s">
        <v>241</v>
      </c>
      <c r="C91" t="s">
        <v>144</v>
      </c>
      <c r="D91" t="s">
        <v>87</v>
      </c>
      <c r="E91" t="s">
        <v>242</v>
      </c>
      <c r="F91">
        <v>0.4</v>
      </c>
      <c r="G91">
        <v>0</v>
      </c>
      <c r="H91">
        <v>0.01</v>
      </c>
      <c r="I91">
        <v>0.01</v>
      </c>
    </row>
    <row r="92" spans="1:9" x14ac:dyDescent="0.25">
      <c r="A92" s="34">
        <v>44742</v>
      </c>
      <c r="B92" t="s">
        <v>243</v>
      </c>
      <c r="C92" t="s">
        <v>144</v>
      </c>
      <c r="D92" t="s">
        <v>46</v>
      </c>
      <c r="E92" t="s">
        <v>244</v>
      </c>
      <c r="F92">
        <v>0.19</v>
      </c>
      <c r="G92">
        <v>0</v>
      </c>
      <c r="H92">
        <v>0.04</v>
      </c>
      <c r="I92">
        <v>0.04</v>
      </c>
    </row>
    <row r="93" spans="1:9" x14ac:dyDescent="0.25">
      <c r="A93" s="34">
        <v>44742</v>
      </c>
      <c r="B93" t="s">
        <v>245</v>
      </c>
      <c r="C93" t="s">
        <v>144</v>
      </c>
      <c r="D93" t="s">
        <v>72</v>
      </c>
      <c r="E93" t="s">
        <v>246</v>
      </c>
      <c r="F93">
        <v>0.02</v>
      </c>
      <c r="G93">
        <v>0</v>
      </c>
      <c r="H93">
        <v>0.03</v>
      </c>
      <c r="I93">
        <v>0.03</v>
      </c>
    </row>
    <row r="94" spans="1:9" x14ac:dyDescent="0.25">
      <c r="A94" s="34">
        <v>44741</v>
      </c>
      <c r="B94" t="s">
        <v>247</v>
      </c>
      <c r="C94" t="s">
        <v>248</v>
      </c>
      <c r="D94" t="s">
        <v>104</v>
      </c>
      <c r="E94" t="s">
        <v>249</v>
      </c>
      <c r="F94">
        <v>0.32</v>
      </c>
      <c r="G94">
        <v>0</v>
      </c>
      <c r="H94">
        <v>0.02</v>
      </c>
      <c r="I94">
        <v>0.02</v>
      </c>
    </row>
    <row r="95" spans="1:9" x14ac:dyDescent="0.25">
      <c r="A95" s="34">
        <v>44741</v>
      </c>
      <c r="B95" t="s">
        <v>250</v>
      </c>
      <c r="C95" t="s">
        <v>108</v>
      </c>
      <c r="D95" t="s">
        <v>46</v>
      </c>
      <c r="E95" t="s">
        <v>251</v>
      </c>
      <c r="F95">
        <v>1.1200000000000001</v>
      </c>
      <c r="G95">
        <v>0</v>
      </c>
      <c r="H95">
        <v>0</v>
      </c>
      <c r="I95">
        <v>0</v>
      </c>
    </row>
    <row r="96" spans="1:9" x14ac:dyDescent="0.25">
      <c r="A96" s="34">
        <v>44741</v>
      </c>
      <c r="B96" t="s">
        <v>252</v>
      </c>
      <c r="C96" t="s">
        <v>253</v>
      </c>
      <c r="D96" t="s">
        <v>104</v>
      </c>
      <c r="E96" t="s">
        <v>254</v>
      </c>
      <c r="F96">
        <v>0.04</v>
      </c>
      <c r="G96">
        <v>0</v>
      </c>
      <c r="H96">
        <v>0.15</v>
      </c>
      <c r="I96">
        <v>0.15</v>
      </c>
    </row>
    <row r="97" spans="1:9" x14ac:dyDescent="0.25">
      <c r="A97" s="34">
        <v>44741</v>
      </c>
      <c r="B97" t="s">
        <v>255</v>
      </c>
      <c r="C97" t="s">
        <v>152</v>
      </c>
      <c r="D97" t="s">
        <v>100</v>
      </c>
      <c r="E97" t="s">
        <v>256</v>
      </c>
      <c r="F97">
        <v>0.01</v>
      </c>
      <c r="G97">
        <v>0</v>
      </c>
      <c r="H97">
        <v>7.0000000000000007E-2</v>
      </c>
      <c r="I97">
        <v>7.0000000000000007E-2</v>
      </c>
    </row>
    <row r="98" spans="1:9" x14ac:dyDescent="0.25">
      <c r="A98" s="34">
        <v>44741</v>
      </c>
      <c r="B98" t="s">
        <v>257</v>
      </c>
      <c r="C98" t="s">
        <v>152</v>
      </c>
      <c r="D98" t="s">
        <v>169</v>
      </c>
      <c r="E98" t="s">
        <v>258</v>
      </c>
      <c r="F98">
        <v>0.01</v>
      </c>
      <c r="G98">
        <v>0</v>
      </c>
      <c r="H98">
        <v>0.03</v>
      </c>
      <c r="I98">
        <v>0.03</v>
      </c>
    </row>
    <row r="99" spans="1:9" x14ac:dyDescent="0.25">
      <c r="A99" s="34">
        <v>44741</v>
      </c>
      <c r="B99" t="s">
        <v>259</v>
      </c>
      <c r="C99" t="s">
        <v>152</v>
      </c>
      <c r="D99" t="s">
        <v>104</v>
      </c>
      <c r="E99" t="s">
        <v>260</v>
      </c>
      <c r="F99">
        <v>0</v>
      </c>
      <c r="G99">
        <v>0</v>
      </c>
      <c r="H99">
        <v>0.03</v>
      </c>
      <c r="I99">
        <v>0.03</v>
      </c>
    </row>
    <row r="100" spans="1:9" x14ac:dyDescent="0.25">
      <c r="A100" s="34">
        <v>44740</v>
      </c>
      <c r="B100" t="s">
        <v>261</v>
      </c>
      <c r="C100" t="s">
        <v>253</v>
      </c>
      <c r="D100" t="s">
        <v>104</v>
      </c>
      <c r="E100" t="s">
        <v>262</v>
      </c>
      <c r="F100">
        <v>0.64</v>
      </c>
      <c r="G100">
        <v>0</v>
      </c>
      <c r="H100">
        <v>0.22</v>
      </c>
      <c r="I100">
        <v>0.22</v>
      </c>
    </row>
    <row r="101" spans="1:9" x14ac:dyDescent="0.25">
      <c r="A101" s="34">
        <v>44740</v>
      </c>
      <c r="B101" t="s">
        <v>263</v>
      </c>
      <c r="C101" t="s">
        <v>253</v>
      </c>
      <c r="D101" t="s">
        <v>84</v>
      </c>
      <c r="E101" t="s">
        <v>264</v>
      </c>
      <c r="F101">
        <v>0.46</v>
      </c>
      <c r="G101">
        <v>0.01</v>
      </c>
      <c r="H101">
        <v>0.15</v>
      </c>
      <c r="I101">
        <v>0.15</v>
      </c>
    </row>
    <row r="102" spans="1:9" x14ac:dyDescent="0.25">
      <c r="A102" s="34">
        <v>44740</v>
      </c>
      <c r="B102" t="s">
        <v>265</v>
      </c>
      <c r="C102" t="s">
        <v>152</v>
      </c>
      <c r="D102" t="s">
        <v>104</v>
      </c>
      <c r="E102" t="s">
        <v>266</v>
      </c>
      <c r="F102">
        <v>0</v>
      </c>
      <c r="G102">
        <v>0.67</v>
      </c>
      <c r="H102">
        <v>0</v>
      </c>
      <c r="I102">
        <v>0</v>
      </c>
    </row>
    <row r="103" spans="1:9" x14ac:dyDescent="0.25">
      <c r="A103" s="34">
        <v>44740</v>
      </c>
      <c r="B103" t="s">
        <v>267</v>
      </c>
      <c r="C103" t="s">
        <v>152</v>
      </c>
      <c r="D103" t="s">
        <v>104</v>
      </c>
      <c r="E103" t="s">
        <v>268</v>
      </c>
      <c r="F103">
        <v>0</v>
      </c>
      <c r="G103">
        <v>0.66</v>
      </c>
      <c r="H103">
        <v>0</v>
      </c>
      <c r="I103">
        <v>0</v>
      </c>
    </row>
    <row r="104" spans="1:9" x14ac:dyDescent="0.25">
      <c r="A104" s="34">
        <v>44739</v>
      </c>
      <c r="B104" t="s">
        <v>269</v>
      </c>
      <c r="C104" t="s">
        <v>253</v>
      </c>
      <c r="D104" t="s">
        <v>49</v>
      </c>
      <c r="E104" t="s">
        <v>270</v>
      </c>
      <c r="F104">
        <v>0.17</v>
      </c>
      <c r="G104">
        <v>0</v>
      </c>
      <c r="H104">
        <v>0.06</v>
      </c>
      <c r="I104">
        <v>0.06</v>
      </c>
    </row>
    <row r="105" spans="1:9" x14ac:dyDescent="0.25">
      <c r="A105" s="34">
        <v>44739</v>
      </c>
      <c r="B105" t="s">
        <v>271</v>
      </c>
      <c r="C105" t="s">
        <v>253</v>
      </c>
      <c r="D105" t="s">
        <v>87</v>
      </c>
      <c r="E105" t="s">
        <v>272</v>
      </c>
      <c r="F105">
        <v>0.01</v>
      </c>
      <c r="G105">
        <v>0</v>
      </c>
      <c r="H105">
        <v>0.05</v>
      </c>
      <c r="I105">
        <v>0.05</v>
      </c>
    </row>
    <row r="106" spans="1:9" x14ac:dyDescent="0.25">
      <c r="A106" s="34">
        <v>44739</v>
      </c>
      <c r="B106" t="s">
        <v>273</v>
      </c>
      <c r="C106" t="s">
        <v>248</v>
      </c>
      <c r="D106" t="s">
        <v>231</v>
      </c>
      <c r="E106" t="s">
        <v>274</v>
      </c>
      <c r="F106">
        <v>0.1</v>
      </c>
      <c r="G106">
        <v>0</v>
      </c>
      <c r="H106">
        <v>0.01</v>
      </c>
      <c r="I106">
        <v>0.01</v>
      </c>
    </row>
    <row r="107" spans="1:9" x14ac:dyDescent="0.25">
      <c r="A107" s="34">
        <v>44738</v>
      </c>
      <c r="B107" t="s">
        <v>275</v>
      </c>
      <c r="C107" t="s">
        <v>253</v>
      </c>
      <c r="D107" t="s">
        <v>59</v>
      </c>
      <c r="E107" t="s">
        <v>276</v>
      </c>
      <c r="F107">
        <v>0</v>
      </c>
      <c r="G107">
        <v>1.65</v>
      </c>
      <c r="H107">
        <v>0</v>
      </c>
      <c r="I107">
        <v>0</v>
      </c>
    </row>
    <row r="108" spans="1:9" x14ac:dyDescent="0.25">
      <c r="A108" s="34">
        <v>44738</v>
      </c>
      <c r="B108" t="s">
        <v>277</v>
      </c>
      <c r="C108" t="s">
        <v>253</v>
      </c>
      <c r="D108" t="s">
        <v>46</v>
      </c>
      <c r="E108" t="s">
        <v>278</v>
      </c>
      <c r="F108">
        <v>0.12</v>
      </c>
      <c r="G108">
        <v>0</v>
      </c>
      <c r="H108">
        <v>0.21</v>
      </c>
      <c r="I108">
        <v>0.21</v>
      </c>
    </row>
    <row r="109" spans="1:9" x14ac:dyDescent="0.25">
      <c r="A109" s="34">
        <v>44738</v>
      </c>
      <c r="B109" t="s">
        <v>279</v>
      </c>
      <c r="C109" t="s">
        <v>253</v>
      </c>
      <c r="D109" t="s">
        <v>87</v>
      </c>
      <c r="E109" t="s">
        <v>280</v>
      </c>
      <c r="F109">
        <v>0.51</v>
      </c>
      <c r="G109">
        <v>0</v>
      </c>
      <c r="H109">
        <v>0.17</v>
      </c>
      <c r="I109">
        <v>0.17</v>
      </c>
    </row>
    <row r="110" spans="1:9" x14ac:dyDescent="0.25">
      <c r="A110" s="34">
        <v>44738</v>
      </c>
      <c r="B110" t="s">
        <v>281</v>
      </c>
      <c r="C110" t="s">
        <v>253</v>
      </c>
      <c r="D110" t="s">
        <v>104</v>
      </c>
      <c r="E110" t="s">
        <v>282</v>
      </c>
      <c r="F110">
        <v>0</v>
      </c>
      <c r="G110">
        <v>1</v>
      </c>
      <c r="H110">
        <v>0</v>
      </c>
      <c r="I110">
        <v>0</v>
      </c>
    </row>
    <row r="111" spans="1:9" x14ac:dyDescent="0.25">
      <c r="A111" s="34">
        <v>44738</v>
      </c>
      <c r="B111" t="s">
        <v>283</v>
      </c>
      <c r="C111" t="s">
        <v>253</v>
      </c>
      <c r="D111" t="s">
        <v>104</v>
      </c>
      <c r="E111" t="s">
        <v>284</v>
      </c>
      <c r="F111">
        <v>0.03</v>
      </c>
      <c r="G111">
        <v>0</v>
      </c>
      <c r="H111">
        <v>0.13</v>
      </c>
      <c r="I111">
        <v>0.13</v>
      </c>
    </row>
    <row r="112" spans="1:9" x14ac:dyDescent="0.25">
      <c r="A112" s="34">
        <v>44738</v>
      </c>
      <c r="B112" t="s">
        <v>285</v>
      </c>
      <c r="C112" t="s">
        <v>253</v>
      </c>
      <c r="D112" t="s">
        <v>56</v>
      </c>
      <c r="E112" t="s">
        <v>286</v>
      </c>
      <c r="F112">
        <v>0.27</v>
      </c>
      <c r="G112">
        <v>0</v>
      </c>
      <c r="H112">
        <v>0.09</v>
      </c>
      <c r="I112">
        <v>0.09</v>
      </c>
    </row>
    <row r="113" spans="1:9" x14ac:dyDescent="0.25">
      <c r="A113" s="34">
        <v>44738</v>
      </c>
      <c r="B113" t="s">
        <v>287</v>
      </c>
      <c r="C113" t="s">
        <v>253</v>
      </c>
      <c r="D113" t="s">
        <v>59</v>
      </c>
      <c r="E113" t="s">
        <v>288</v>
      </c>
      <c r="F113">
        <v>0.26</v>
      </c>
      <c r="G113">
        <v>0</v>
      </c>
      <c r="H113">
        <v>0.09</v>
      </c>
      <c r="I113">
        <v>0.09</v>
      </c>
    </row>
    <row r="114" spans="1:9" x14ac:dyDescent="0.25">
      <c r="A114" s="34">
        <v>44738</v>
      </c>
      <c r="B114" t="s">
        <v>289</v>
      </c>
      <c r="C114" t="s">
        <v>248</v>
      </c>
      <c r="D114" t="s">
        <v>231</v>
      </c>
      <c r="E114" t="s">
        <v>290</v>
      </c>
      <c r="F114">
        <v>0.16</v>
      </c>
      <c r="G114">
        <v>0</v>
      </c>
      <c r="H114">
        <v>0.01</v>
      </c>
      <c r="I114">
        <v>0.01</v>
      </c>
    </row>
    <row r="115" spans="1:9" x14ac:dyDescent="0.25">
      <c r="A115" s="34">
        <v>44738</v>
      </c>
      <c r="B115" t="s">
        <v>291</v>
      </c>
      <c r="C115" t="s">
        <v>248</v>
      </c>
      <c r="D115" t="s">
        <v>169</v>
      </c>
      <c r="E115" t="s">
        <v>292</v>
      </c>
      <c r="F115">
        <v>0.15</v>
      </c>
      <c r="G115">
        <v>0</v>
      </c>
      <c r="H115">
        <v>0.01</v>
      </c>
      <c r="I115">
        <v>0.01</v>
      </c>
    </row>
    <row r="116" spans="1:9" x14ac:dyDescent="0.25">
      <c r="A116" s="34">
        <v>44738</v>
      </c>
      <c r="B116" t="s">
        <v>293</v>
      </c>
      <c r="C116" t="s">
        <v>253</v>
      </c>
      <c r="D116" t="s">
        <v>46</v>
      </c>
      <c r="E116" t="s">
        <v>294</v>
      </c>
      <c r="F116">
        <v>0</v>
      </c>
      <c r="G116">
        <v>0.55000000000000004</v>
      </c>
      <c r="H116">
        <v>0</v>
      </c>
      <c r="I116">
        <v>0</v>
      </c>
    </row>
    <row r="117" spans="1:9" x14ac:dyDescent="0.25">
      <c r="A117" s="34">
        <v>44738</v>
      </c>
      <c r="B117" t="s">
        <v>295</v>
      </c>
      <c r="C117" t="s">
        <v>253</v>
      </c>
      <c r="D117" t="s">
        <v>49</v>
      </c>
      <c r="E117" t="s">
        <v>296</v>
      </c>
      <c r="F117">
        <v>0.2</v>
      </c>
      <c r="G117">
        <v>0</v>
      </c>
      <c r="H117">
        <v>7.0000000000000007E-2</v>
      </c>
      <c r="I117">
        <v>7.0000000000000007E-2</v>
      </c>
    </row>
    <row r="118" spans="1:9" x14ac:dyDescent="0.25">
      <c r="A118" s="34">
        <v>44738</v>
      </c>
      <c r="B118" t="s">
        <v>283</v>
      </c>
      <c r="C118" t="s">
        <v>297</v>
      </c>
      <c r="D118" t="s">
        <v>104</v>
      </c>
      <c r="E118" t="s">
        <v>298</v>
      </c>
      <c r="F118">
        <v>0.11</v>
      </c>
      <c r="G118">
        <v>0</v>
      </c>
      <c r="H118">
        <v>0.02</v>
      </c>
      <c r="I118">
        <v>0.02</v>
      </c>
    </row>
    <row r="119" spans="1:9" x14ac:dyDescent="0.25">
      <c r="A119" s="34">
        <v>44738</v>
      </c>
      <c r="B119" t="s">
        <v>299</v>
      </c>
      <c r="C119" t="s">
        <v>253</v>
      </c>
      <c r="D119" t="s">
        <v>104</v>
      </c>
      <c r="E119" t="s">
        <v>300</v>
      </c>
      <c r="F119">
        <v>0.16</v>
      </c>
      <c r="G119">
        <v>0</v>
      </c>
      <c r="H119">
        <v>0.05</v>
      </c>
      <c r="I119">
        <v>0.05</v>
      </c>
    </row>
    <row r="120" spans="1:9" x14ac:dyDescent="0.25">
      <c r="A120" s="34">
        <v>44737</v>
      </c>
      <c r="B120" t="s">
        <v>301</v>
      </c>
      <c r="C120" t="s">
        <v>248</v>
      </c>
      <c r="D120" t="s">
        <v>59</v>
      </c>
      <c r="E120" t="s">
        <v>302</v>
      </c>
      <c r="F120">
        <v>0.37</v>
      </c>
      <c r="G120">
        <v>0.89</v>
      </c>
      <c r="H120">
        <v>0.05</v>
      </c>
      <c r="I120">
        <v>0.05</v>
      </c>
    </row>
    <row r="121" spans="1:9" x14ac:dyDescent="0.25">
      <c r="A121" s="34">
        <v>44737</v>
      </c>
      <c r="B121" t="s">
        <v>303</v>
      </c>
      <c r="C121" t="s">
        <v>253</v>
      </c>
      <c r="D121" t="s">
        <v>56</v>
      </c>
      <c r="E121" t="s">
        <v>304</v>
      </c>
      <c r="F121">
        <v>0.41</v>
      </c>
      <c r="G121">
        <v>0</v>
      </c>
      <c r="H121">
        <v>0.14000000000000001</v>
      </c>
      <c r="I121">
        <v>0.14000000000000001</v>
      </c>
    </row>
    <row r="122" spans="1:9" x14ac:dyDescent="0.25">
      <c r="A122" s="34">
        <v>44737</v>
      </c>
      <c r="B122" t="s">
        <v>305</v>
      </c>
      <c r="C122" t="s">
        <v>253</v>
      </c>
      <c r="D122" t="s">
        <v>87</v>
      </c>
      <c r="E122" t="s">
        <v>306</v>
      </c>
      <c r="F122">
        <v>0.27</v>
      </c>
      <c r="G122">
        <v>0.21</v>
      </c>
      <c r="H122">
        <v>0.09</v>
      </c>
      <c r="I122">
        <v>0.09</v>
      </c>
    </row>
    <row r="123" spans="1:9" x14ac:dyDescent="0.25">
      <c r="A123" s="34">
        <v>44737</v>
      </c>
      <c r="B123" t="s">
        <v>307</v>
      </c>
      <c r="C123" t="s">
        <v>253</v>
      </c>
      <c r="D123" t="s">
        <v>87</v>
      </c>
      <c r="E123" t="s">
        <v>308</v>
      </c>
      <c r="F123">
        <v>0.32</v>
      </c>
      <c r="G123">
        <v>0</v>
      </c>
      <c r="H123">
        <v>0.11</v>
      </c>
      <c r="I123">
        <v>0.11</v>
      </c>
    </row>
    <row r="124" spans="1:9" x14ac:dyDescent="0.25">
      <c r="A124" s="34">
        <v>44736</v>
      </c>
      <c r="B124" t="s">
        <v>309</v>
      </c>
      <c r="C124" t="s">
        <v>310</v>
      </c>
      <c r="D124" t="s">
        <v>104</v>
      </c>
      <c r="E124" t="s">
        <v>311</v>
      </c>
      <c r="F124">
        <v>0.48</v>
      </c>
      <c r="G124">
        <v>0.05</v>
      </c>
      <c r="H124">
        <v>0.06</v>
      </c>
      <c r="I124">
        <v>0.06</v>
      </c>
    </row>
    <row r="125" spans="1:9" x14ac:dyDescent="0.25">
      <c r="A125" s="34">
        <v>44736</v>
      </c>
      <c r="B125" t="s">
        <v>312</v>
      </c>
      <c r="C125" t="s">
        <v>253</v>
      </c>
      <c r="D125" t="s">
        <v>56</v>
      </c>
      <c r="E125" t="s">
        <v>313</v>
      </c>
      <c r="F125">
        <v>0.46</v>
      </c>
      <c r="G125">
        <v>0</v>
      </c>
      <c r="H125">
        <v>0.15</v>
      </c>
      <c r="I125">
        <v>0.15</v>
      </c>
    </row>
    <row r="126" spans="1:9" x14ac:dyDescent="0.25">
      <c r="A126" s="34">
        <v>44736</v>
      </c>
      <c r="B126" t="s">
        <v>314</v>
      </c>
      <c r="C126" t="s">
        <v>253</v>
      </c>
      <c r="D126" t="s">
        <v>46</v>
      </c>
      <c r="E126" t="s">
        <v>315</v>
      </c>
      <c r="F126">
        <v>0.41</v>
      </c>
      <c r="G126">
        <v>0</v>
      </c>
      <c r="H126">
        <v>0.14000000000000001</v>
      </c>
      <c r="I126">
        <v>0.14000000000000001</v>
      </c>
    </row>
    <row r="127" spans="1:9" x14ac:dyDescent="0.25">
      <c r="A127" s="34">
        <v>44736</v>
      </c>
      <c r="B127" t="s">
        <v>316</v>
      </c>
      <c r="C127" t="s">
        <v>253</v>
      </c>
      <c r="D127" t="s">
        <v>72</v>
      </c>
      <c r="E127" t="s">
        <v>317</v>
      </c>
      <c r="F127">
        <v>0.33</v>
      </c>
      <c r="G127">
        <v>0</v>
      </c>
      <c r="H127">
        <v>0.11</v>
      </c>
      <c r="I127">
        <v>0.11</v>
      </c>
    </row>
    <row r="128" spans="1:9" x14ac:dyDescent="0.25">
      <c r="A128" s="34">
        <v>44736</v>
      </c>
      <c r="B128" t="s">
        <v>318</v>
      </c>
      <c r="C128" t="s">
        <v>253</v>
      </c>
      <c r="D128" t="s">
        <v>100</v>
      </c>
      <c r="E128" t="s">
        <v>319</v>
      </c>
      <c r="F128">
        <v>0.17</v>
      </c>
      <c r="G128">
        <v>0.23</v>
      </c>
      <c r="H128">
        <v>0.06</v>
      </c>
      <c r="I128">
        <v>0.06</v>
      </c>
    </row>
    <row r="129" spans="1:9" x14ac:dyDescent="0.25">
      <c r="A129" s="34">
        <v>44736</v>
      </c>
      <c r="B129" t="s">
        <v>320</v>
      </c>
      <c r="C129" t="s">
        <v>253</v>
      </c>
      <c r="D129" t="s">
        <v>87</v>
      </c>
      <c r="E129" t="s">
        <v>321</v>
      </c>
      <c r="F129">
        <v>0.2</v>
      </c>
      <c r="G129">
        <v>0</v>
      </c>
      <c r="H129">
        <v>7.0000000000000007E-2</v>
      </c>
      <c r="I129">
        <v>7.0000000000000007E-2</v>
      </c>
    </row>
    <row r="130" spans="1:9" x14ac:dyDescent="0.25">
      <c r="A130" s="34">
        <v>44736</v>
      </c>
      <c r="B130" t="s">
        <v>322</v>
      </c>
      <c r="C130" t="s">
        <v>253</v>
      </c>
      <c r="D130" t="s">
        <v>56</v>
      </c>
      <c r="E130" t="s">
        <v>323</v>
      </c>
      <c r="F130">
        <v>0.15</v>
      </c>
      <c r="G130">
        <v>0.06</v>
      </c>
      <c r="H130">
        <v>0.05</v>
      </c>
      <c r="I130">
        <v>0.05</v>
      </c>
    </row>
    <row r="131" spans="1:9" x14ac:dyDescent="0.25">
      <c r="A131" s="34">
        <v>44736</v>
      </c>
      <c r="B131" t="s">
        <v>324</v>
      </c>
      <c r="C131" t="s">
        <v>253</v>
      </c>
      <c r="D131" t="s">
        <v>56</v>
      </c>
      <c r="E131" t="s">
        <v>325</v>
      </c>
      <c r="F131">
        <v>0.17</v>
      </c>
      <c r="G131">
        <v>0</v>
      </c>
      <c r="H131">
        <v>0.06</v>
      </c>
      <c r="I131">
        <v>0.06</v>
      </c>
    </row>
    <row r="132" spans="1:9" x14ac:dyDescent="0.25">
      <c r="A132" s="34">
        <v>44735</v>
      </c>
      <c r="B132" t="s">
        <v>326</v>
      </c>
      <c r="C132" t="s">
        <v>253</v>
      </c>
      <c r="D132" t="s">
        <v>56</v>
      </c>
      <c r="E132" t="s">
        <v>327</v>
      </c>
      <c r="F132">
        <v>0.48</v>
      </c>
      <c r="G132">
        <v>1.0900000000000001</v>
      </c>
      <c r="H132">
        <v>0.14000000000000001</v>
      </c>
      <c r="I132">
        <v>0.14000000000000001</v>
      </c>
    </row>
    <row r="133" spans="1:9" x14ac:dyDescent="0.25">
      <c r="A133" s="34">
        <v>44735</v>
      </c>
      <c r="B133" t="s">
        <v>328</v>
      </c>
      <c r="C133" t="s">
        <v>253</v>
      </c>
      <c r="D133" t="s">
        <v>100</v>
      </c>
      <c r="E133" t="s">
        <v>329</v>
      </c>
      <c r="F133">
        <v>0.35</v>
      </c>
      <c r="G133">
        <v>0</v>
      </c>
      <c r="H133">
        <v>0.12</v>
      </c>
      <c r="I133">
        <v>0.12</v>
      </c>
    </row>
    <row r="134" spans="1:9" x14ac:dyDescent="0.25">
      <c r="A134" s="34">
        <v>44735</v>
      </c>
      <c r="B134" t="s">
        <v>330</v>
      </c>
      <c r="C134" t="s">
        <v>331</v>
      </c>
      <c r="D134" t="s">
        <v>49</v>
      </c>
      <c r="E134" t="s">
        <v>332</v>
      </c>
      <c r="F134">
        <v>0.33</v>
      </c>
      <c r="G134">
        <v>0</v>
      </c>
      <c r="H134">
        <v>0.06</v>
      </c>
      <c r="I134">
        <v>0.06</v>
      </c>
    </row>
    <row r="135" spans="1:9" x14ac:dyDescent="0.25">
      <c r="A135" s="34">
        <v>44735</v>
      </c>
      <c r="B135" t="s">
        <v>333</v>
      </c>
      <c r="C135" t="s">
        <v>331</v>
      </c>
      <c r="D135" t="s">
        <v>59</v>
      </c>
      <c r="E135" t="s">
        <v>334</v>
      </c>
      <c r="F135">
        <v>0.2</v>
      </c>
      <c r="G135">
        <v>0</v>
      </c>
      <c r="H135">
        <v>0.03</v>
      </c>
      <c r="I135">
        <v>0.03</v>
      </c>
    </row>
    <row r="136" spans="1:9" x14ac:dyDescent="0.25">
      <c r="A136" s="34">
        <v>44735</v>
      </c>
      <c r="B136" t="s">
        <v>335</v>
      </c>
      <c r="C136" t="s">
        <v>248</v>
      </c>
      <c r="D136" t="s">
        <v>87</v>
      </c>
      <c r="E136" t="s">
        <v>336</v>
      </c>
      <c r="F136">
        <v>0.13</v>
      </c>
      <c r="G136">
        <v>0</v>
      </c>
      <c r="H136">
        <v>0.01</v>
      </c>
      <c r="I136">
        <v>0.01</v>
      </c>
    </row>
    <row r="137" spans="1:9" x14ac:dyDescent="0.25">
      <c r="A137" s="34">
        <v>44735</v>
      </c>
      <c r="B137" t="s">
        <v>337</v>
      </c>
      <c r="C137" t="s">
        <v>331</v>
      </c>
      <c r="D137" t="s">
        <v>56</v>
      </c>
      <c r="E137" t="s">
        <v>338</v>
      </c>
      <c r="F137">
        <v>0.17</v>
      </c>
      <c r="G137">
        <v>0</v>
      </c>
      <c r="H137">
        <v>0.03</v>
      </c>
      <c r="I137">
        <v>0.03</v>
      </c>
    </row>
    <row r="138" spans="1:9" x14ac:dyDescent="0.25">
      <c r="A138" s="34">
        <v>44734</v>
      </c>
      <c r="B138" t="s">
        <v>339</v>
      </c>
      <c r="C138" t="s">
        <v>331</v>
      </c>
      <c r="D138" t="s">
        <v>104</v>
      </c>
      <c r="E138" t="s">
        <v>340</v>
      </c>
      <c r="F138">
        <v>0</v>
      </c>
      <c r="G138">
        <v>0.49</v>
      </c>
      <c r="H138">
        <v>0.03</v>
      </c>
      <c r="I138">
        <v>0.03</v>
      </c>
    </row>
    <row r="139" spans="1:9" x14ac:dyDescent="0.25">
      <c r="A139" s="34">
        <v>44734</v>
      </c>
      <c r="B139" t="s">
        <v>341</v>
      </c>
      <c r="C139" t="s">
        <v>331</v>
      </c>
      <c r="D139" t="s">
        <v>104</v>
      </c>
      <c r="E139" t="s">
        <v>342</v>
      </c>
      <c r="F139">
        <v>0.16</v>
      </c>
      <c r="G139">
        <v>0</v>
      </c>
      <c r="H139">
        <v>0.03</v>
      </c>
      <c r="I139">
        <v>0.03</v>
      </c>
    </row>
    <row r="140" spans="1:9" x14ac:dyDescent="0.25">
      <c r="A140" s="34">
        <v>44733</v>
      </c>
      <c r="B140" t="s">
        <v>343</v>
      </c>
      <c r="C140" t="s">
        <v>331</v>
      </c>
      <c r="D140" t="s">
        <v>56</v>
      </c>
      <c r="E140" t="s">
        <v>344</v>
      </c>
      <c r="F140">
        <v>2.8</v>
      </c>
      <c r="G140">
        <v>0.02</v>
      </c>
      <c r="H140">
        <v>0.33</v>
      </c>
      <c r="I140">
        <v>0.33</v>
      </c>
    </row>
    <row r="141" spans="1:9" x14ac:dyDescent="0.25">
      <c r="A141" s="34">
        <v>44733</v>
      </c>
      <c r="B141" t="s">
        <v>345</v>
      </c>
      <c r="C141" t="s">
        <v>331</v>
      </c>
      <c r="D141" t="s">
        <v>46</v>
      </c>
      <c r="E141" t="s">
        <v>346</v>
      </c>
      <c r="F141">
        <v>0.68</v>
      </c>
      <c r="G141">
        <v>0</v>
      </c>
      <c r="H141">
        <v>0.12</v>
      </c>
      <c r="I141">
        <v>0.12</v>
      </c>
    </row>
    <row r="142" spans="1:9" x14ac:dyDescent="0.25">
      <c r="A142" s="34">
        <v>44733</v>
      </c>
      <c r="B142" t="s">
        <v>347</v>
      </c>
      <c r="C142" t="s">
        <v>331</v>
      </c>
      <c r="D142" t="s">
        <v>49</v>
      </c>
      <c r="E142" t="s">
        <v>348</v>
      </c>
      <c r="F142">
        <v>0.63</v>
      </c>
      <c r="G142">
        <v>0</v>
      </c>
      <c r="H142">
        <v>0.08</v>
      </c>
      <c r="I142">
        <v>0.08</v>
      </c>
    </row>
    <row r="143" spans="1:9" x14ac:dyDescent="0.25">
      <c r="A143" s="34">
        <v>44733</v>
      </c>
      <c r="B143" t="s">
        <v>349</v>
      </c>
      <c r="C143" t="s">
        <v>108</v>
      </c>
      <c r="D143" t="s">
        <v>153</v>
      </c>
      <c r="E143" t="s">
        <v>350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 s="34">
        <v>44733</v>
      </c>
      <c r="B144" t="s">
        <v>351</v>
      </c>
      <c r="C144" t="s">
        <v>331</v>
      </c>
      <c r="D144" t="s">
        <v>46</v>
      </c>
      <c r="E144" t="s">
        <v>352</v>
      </c>
      <c r="F144">
        <v>0</v>
      </c>
      <c r="G144">
        <v>1.06</v>
      </c>
      <c r="H144">
        <v>7.0000000000000007E-2</v>
      </c>
      <c r="I144">
        <v>7.0000000000000007E-2</v>
      </c>
    </row>
    <row r="145" spans="1:9" x14ac:dyDescent="0.25">
      <c r="A145" s="34">
        <v>44733</v>
      </c>
      <c r="B145" t="s">
        <v>353</v>
      </c>
      <c r="C145" t="s">
        <v>331</v>
      </c>
      <c r="D145" t="s">
        <v>153</v>
      </c>
      <c r="E145" t="s">
        <v>354</v>
      </c>
      <c r="F145">
        <v>0.81</v>
      </c>
      <c r="G145">
        <v>0</v>
      </c>
      <c r="H145">
        <v>0.08</v>
      </c>
      <c r="I145">
        <v>0.08</v>
      </c>
    </row>
    <row r="146" spans="1:9" x14ac:dyDescent="0.25">
      <c r="A146" s="34">
        <v>44733</v>
      </c>
      <c r="B146" t="s">
        <v>355</v>
      </c>
      <c r="C146" t="s">
        <v>331</v>
      </c>
      <c r="D146" t="s">
        <v>59</v>
      </c>
      <c r="E146" t="s">
        <v>356</v>
      </c>
      <c r="F146">
        <v>0.3</v>
      </c>
      <c r="G146">
        <v>0</v>
      </c>
      <c r="H146">
        <v>0.05</v>
      </c>
      <c r="I146">
        <v>0.05</v>
      </c>
    </row>
    <row r="147" spans="1:9" x14ac:dyDescent="0.25">
      <c r="A147" s="34">
        <v>44733</v>
      </c>
      <c r="B147" t="s">
        <v>357</v>
      </c>
      <c r="C147" t="s">
        <v>331</v>
      </c>
      <c r="D147" t="s">
        <v>231</v>
      </c>
      <c r="E147" t="s">
        <v>358</v>
      </c>
      <c r="F147">
        <v>0.28000000000000003</v>
      </c>
      <c r="G147">
        <v>0</v>
      </c>
      <c r="H147">
        <v>0.05</v>
      </c>
      <c r="I147">
        <v>0.05</v>
      </c>
    </row>
    <row r="148" spans="1:9" x14ac:dyDescent="0.25">
      <c r="A148" s="34">
        <v>44733</v>
      </c>
      <c r="B148" t="s">
        <v>359</v>
      </c>
      <c r="C148" t="s">
        <v>360</v>
      </c>
      <c r="D148" t="s">
        <v>87</v>
      </c>
      <c r="E148" t="s">
        <v>361</v>
      </c>
      <c r="F148">
        <v>0.18</v>
      </c>
      <c r="G148">
        <v>0</v>
      </c>
      <c r="H148">
        <v>0.01</v>
      </c>
      <c r="I148">
        <v>0.01</v>
      </c>
    </row>
    <row r="149" spans="1:9" x14ac:dyDescent="0.25">
      <c r="A149" s="34">
        <v>44733</v>
      </c>
      <c r="B149" t="s">
        <v>362</v>
      </c>
      <c r="C149" t="s">
        <v>363</v>
      </c>
      <c r="D149" t="s">
        <v>59</v>
      </c>
      <c r="E149" t="s">
        <v>364</v>
      </c>
      <c r="F149">
        <v>0</v>
      </c>
      <c r="G149">
        <v>0.54</v>
      </c>
      <c r="H149">
        <v>0</v>
      </c>
      <c r="I149">
        <v>0</v>
      </c>
    </row>
    <row r="150" spans="1:9" x14ac:dyDescent="0.25">
      <c r="A150" s="34">
        <v>44733</v>
      </c>
      <c r="B150" t="s">
        <v>365</v>
      </c>
      <c r="C150" t="s">
        <v>360</v>
      </c>
      <c r="D150" t="s">
        <v>100</v>
      </c>
      <c r="E150" t="s">
        <v>366</v>
      </c>
      <c r="F150">
        <v>0.06</v>
      </c>
      <c r="G150">
        <v>0.11</v>
      </c>
      <c r="H150">
        <v>0.06</v>
      </c>
      <c r="I150">
        <v>0.06</v>
      </c>
    </row>
    <row r="151" spans="1:9" x14ac:dyDescent="0.25">
      <c r="A151" s="34">
        <v>44733</v>
      </c>
      <c r="B151" t="s">
        <v>367</v>
      </c>
      <c r="C151" t="s">
        <v>331</v>
      </c>
      <c r="D151" t="s">
        <v>104</v>
      </c>
      <c r="E151" t="s">
        <v>368</v>
      </c>
      <c r="F151">
        <v>0</v>
      </c>
      <c r="G151">
        <v>0.44</v>
      </c>
      <c r="H151">
        <v>0.03</v>
      </c>
      <c r="I151">
        <v>0.03</v>
      </c>
    </row>
    <row r="152" spans="1:9" x14ac:dyDescent="0.25">
      <c r="A152" s="34">
        <v>44733</v>
      </c>
      <c r="B152" t="s">
        <v>369</v>
      </c>
      <c r="C152" t="s">
        <v>331</v>
      </c>
      <c r="D152" t="s">
        <v>100</v>
      </c>
      <c r="E152" t="s">
        <v>370</v>
      </c>
      <c r="F152">
        <v>0</v>
      </c>
      <c r="G152">
        <v>0.38</v>
      </c>
      <c r="H152">
        <v>0.03</v>
      </c>
      <c r="I152">
        <v>0.03</v>
      </c>
    </row>
    <row r="153" spans="1:9" x14ac:dyDescent="0.25">
      <c r="A153" s="34">
        <v>44733</v>
      </c>
      <c r="B153" t="s">
        <v>371</v>
      </c>
      <c r="C153" t="s">
        <v>331</v>
      </c>
      <c r="D153" t="s">
        <v>46</v>
      </c>
      <c r="E153" t="s">
        <v>372</v>
      </c>
      <c r="F153">
        <v>0.14000000000000001</v>
      </c>
      <c r="G153">
        <v>0</v>
      </c>
      <c r="H153">
        <v>0.02</v>
      </c>
      <c r="I153">
        <v>0.02</v>
      </c>
    </row>
    <row r="154" spans="1:9" x14ac:dyDescent="0.25">
      <c r="A154" s="34">
        <v>44732</v>
      </c>
      <c r="B154" t="s">
        <v>373</v>
      </c>
      <c r="C154" t="s">
        <v>360</v>
      </c>
      <c r="D154" t="s">
        <v>87</v>
      </c>
      <c r="E154" t="s">
        <v>374</v>
      </c>
      <c r="F154">
        <v>0.96</v>
      </c>
      <c r="G154">
        <v>0.09</v>
      </c>
      <c r="H154">
        <v>0.08</v>
      </c>
      <c r="I154">
        <v>0.08</v>
      </c>
    </row>
    <row r="155" spans="1:9" x14ac:dyDescent="0.25">
      <c r="A155" s="34">
        <v>44732</v>
      </c>
      <c r="B155" t="s">
        <v>375</v>
      </c>
      <c r="C155" t="s">
        <v>331</v>
      </c>
      <c r="D155" t="s">
        <v>49</v>
      </c>
      <c r="E155" t="s">
        <v>376</v>
      </c>
      <c r="F155">
        <v>0.43</v>
      </c>
      <c r="G155">
        <v>0</v>
      </c>
      <c r="H155">
        <v>7.0000000000000007E-2</v>
      </c>
      <c r="I155">
        <v>7.0000000000000007E-2</v>
      </c>
    </row>
    <row r="156" spans="1:9" x14ac:dyDescent="0.25">
      <c r="A156" s="34">
        <v>44732</v>
      </c>
      <c r="B156" t="s">
        <v>377</v>
      </c>
      <c r="C156" t="s">
        <v>331</v>
      </c>
      <c r="D156" t="s">
        <v>46</v>
      </c>
      <c r="E156" t="s">
        <v>378</v>
      </c>
      <c r="F156">
        <v>0.25</v>
      </c>
      <c r="G156">
        <v>0</v>
      </c>
      <c r="H156">
        <v>0.04</v>
      </c>
      <c r="I156">
        <v>0.04</v>
      </c>
    </row>
    <row r="157" spans="1:9" x14ac:dyDescent="0.25">
      <c r="A157" s="34">
        <v>44732</v>
      </c>
      <c r="B157" t="s">
        <v>379</v>
      </c>
      <c r="C157" t="s">
        <v>331</v>
      </c>
      <c r="D157" t="s">
        <v>231</v>
      </c>
      <c r="E157" t="s">
        <v>380</v>
      </c>
      <c r="F157">
        <v>0.22</v>
      </c>
      <c r="G157">
        <v>0</v>
      </c>
      <c r="H157">
        <v>0.04</v>
      </c>
      <c r="I157">
        <v>0.04</v>
      </c>
    </row>
    <row r="158" spans="1:9" x14ac:dyDescent="0.25">
      <c r="A158" s="34">
        <v>44732</v>
      </c>
      <c r="B158" t="s">
        <v>381</v>
      </c>
      <c r="C158" t="s">
        <v>331</v>
      </c>
      <c r="D158" t="s">
        <v>59</v>
      </c>
      <c r="E158" t="s">
        <v>382</v>
      </c>
      <c r="F158">
        <v>0.18</v>
      </c>
      <c r="G158">
        <v>0.06</v>
      </c>
      <c r="H158">
        <v>0.04</v>
      </c>
      <c r="I158">
        <v>0.04</v>
      </c>
    </row>
    <row r="159" spans="1:9" x14ac:dyDescent="0.25">
      <c r="A159" s="34">
        <v>44732</v>
      </c>
      <c r="B159" t="s">
        <v>383</v>
      </c>
      <c r="C159" t="s">
        <v>331</v>
      </c>
      <c r="D159" t="s">
        <v>56</v>
      </c>
      <c r="E159" t="s">
        <v>384</v>
      </c>
      <c r="F159">
        <v>0.16</v>
      </c>
      <c r="G159">
        <v>0</v>
      </c>
      <c r="H159">
        <v>0.03</v>
      </c>
      <c r="I159">
        <v>0.03</v>
      </c>
    </row>
    <row r="160" spans="1:9" x14ac:dyDescent="0.25">
      <c r="A160" s="34">
        <v>44732</v>
      </c>
      <c r="B160" t="s">
        <v>385</v>
      </c>
      <c r="C160" t="s">
        <v>331</v>
      </c>
      <c r="D160" t="s">
        <v>87</v>
      </c>
      <c r="E160" t="s">
        <v>386</v>
      </c>
      <c r="F160">
        <v>0.16</v>
      </c>
      <c r="G160">
        <v>0</v>
      </c>
      <c r="H160">
        <v>0.03</v>
      </c>
      <c r="I160">
        <v>0.03</v>
      </c>
    </row>
    <row r="161" spans="1:9" x14ac:dyDescent="0.25">
      <c r="A161" s="34">
        <v>44732</v>
      </c>
      <c r="B161" t="s">
        <v>387</v>
      </c>
      <c r="C161" t="s">
        <v>331</v>
      </c>
      <c r="D161" t="s">
        <v>46</v>
      </c>
      <c r="E161" t="s">
        <v>388</v>
      </c>
      <c r="F161">
        <v>0.1</v>
      </c>
      <c r="G161">
        <v>0.12</v>
      </c>
      <c r="H161">
        <v>0.03</v>
      </c>
      <c r="I161">
        <v>0.03</v>
      </c>
    </row>
    <row r="162" spans="1:9" x14ac:dyDescent="0.25">
      <c r="A162" s="34">
        <v>44732</v>
      </c>
      <c r="B162" t="s">
        <v>389</v>
      </c>
      <c r="C162" t="s">
        <v>331</v>
      </c>
      <c r="D162" t="s">
        <v>87</v>
      </c>
      <c r="E162" t="s">
        <v>390</v>
      </c>
      <c r="F162">
        <v>0</v>
      </c>
      <c r="G162">
        <v>0.36</v>
      </c>
      <c r="H162">
        <v>0.03</v>
      </c>
      <c r="I162">
        <v>0.03</v>
      </c>
    </row>
    <row r="163" spans="1:9" x14ac:dyDescent="0.25">
      <c r="A163" s="34">
        <v>44731</v>
      </c>
      <c r="B163" t="s">
        <v>391</v>
      </c>
      <c r="C163" t="s">
        <v>108</v>
      </c>
      <c r="D163" t="s">
        <v>84</v>
      </c>
      <c r="E163" t="s">
        <v>392</v>
      </c>
      <c r="F163">
        <v>0.82</v>
      </c>
      <c r="G163">
        <v>0</v>
      </c>
      <c r="H163">
        <v>0.1</v>
      </c>
      <c r="I163">
        <v>0.1</v>
      </c>
    </row>
    <row r="164" spans="1:9" x14ac:dyDescent="0.25">
      <c r="A164" s="34">
        <v>44731</v>
      </c>
      <c r="B164" t="s">
        <v>393</v>
      </c>
      <c r="C164" t="s">
        <v>331</v>
      </c>
      <c r="D164" t="s">
        <v>46</v>
      </c>
      <c r="E164" t="s">
        <v>394</v>
      </c>
      <c r="F164">
        <v>0.46</v>
      </c>
      <c r="G164">
        <v>0.2</v>
      </c>
      <c r="H164">
        <v>0.08</v>
      </c>
      <c r="I164">
        <v>0.08</v>
      </c>
    </row>
    <row r="165" spans="1:9" x14ac:dyDescent="0.25">
      <c r="A165" s="34">
        <v>44731</v>
      </c>
      <c r="B165" t="s">
        <v>395</v>
      </c>
      <c r="C165" t="s">
        <v>331</v>
      </c>
      <c r="D165" t="s">
        <v>87</v>
      </c>
      <c r="E165" t="s">
        <v>396</v>
      </c>
      <c r="F165">
        <v>0.2</v>
      </c>
      <c r="G165">
        <v>0</v>
      </c>
      <c r="H165">
        <v>0.05</v>
      </c>
      <c r="I165">
        <v>0.05</v>
      </c>
    </row>
    <row r="166" spans="1:9" x14ac:dyDescent="0.25">
      <c r="A166" s="34">
        <v>44731</v>
      </c>
      <c r="B166" t="s">
        <v>397</v>
      </c>
      <c r="C166" t="s">
        <v>360</v>
      </c>
      <c r="D166" t="s">
        <v>56</v>
      </c>
      <c r="E166" t="s">
        <v>398</v>
      </c>
      <c r="F166">
        <v>0.38</v>
      </c>
      <c r="G166">
        <v>0.02</v>
      </c>
      <c r="H166">
        <v>0.03</v>
      </c>
      <c r="I166">
        <v>0.03</v>
      </c>
    </row>
    <row r="167" spans="1:9" x14ac:dyDescent="0.25">
      <c r="A167" s="34">
        <v>44731</v>
      </c>
      <c r="B167" t="s">
        <v>399</v>
      </c>
      <c r="C167" t="s">
        <v>331</v>
      </c>
      <c r="D167" t="s">
        <v>169</v>
      </c>
      <c r="E167" t="s">
        <v>400</v>
      </c>
      <c r="F167">
        <v>0</v>
      </c>
      <c r="G167">
        <v>1.07</v>
      </c>
      <c r="H167">
        <v>7.0000000000000007E-2</v>
      </c>
      <c r="I167">
        <v>7.0000000000000007E-2</v>
      </c>
    </row>
    <row r="168" spans="1:9" x14ac:dyDescent="0.25">
      <c r="A168" s="34">
        <v>44731</v>
      </c>
      <c r="B168" t="s">
        <v>401</v>
      </c>
      <c r="C168" t="s">
        <v>402</v>
      </c>
      <c r="D168" t="s">
        <v>59</v>
      </c>
      <c r="E168" t="s">
        <v>403</v>
      </c>
      <c r="F168">
        <v>0</v>
      </c>
      <c r="G168">
        <v>0.42</v>
      </c>
      <c r="H168">
        <v>0</v>
      </c>
      <c r="I168">
        <v>0</v>
      </c>
    </row>
    <row r="169" spans="1:9" x14ac:dyDescent="0.25">
      <c r="A169" s="34">
        <v>44731</v>
      </c>
      <c r="B169" t="s">
        <v>404</v>
      </c>
      <c r="C169" t="s">
        <v>360</v>
      </c>
      <c r="D169" t="s">
        <v>87</v>
      </c>
      <c r="E169" t="s">
        <v>405</v>
      </c>
      <c r="F169">
        <v>7.0000000000000007E-2</v>
      </c>
      <c r="G169">
        <v>0</v>
      </c>
      <c r="H169">
        <v>0</v>
      </c>
      <c r="I169">
        <v>0</v>
      </c>
    </row>
    <row r="170" spans="1:9" x14ac:dyDescent="0.25">
      <c r="A170" s="34">
        <v>44730</v>
      </c>
      <c r="B170" t="s">
        <v>406</v>
      </c>
      <c r="C170" t="s">
        <v>331</v>
      </c>
      <c r="D170" t="s">
        <v>169</v>
      </c>
      <c r="E170" t="s">
        <v>407</v>
      </c>
      <c r="F170">
        <v>0.24</v>
      </c>
      <c r="G170">
        <v>0</v>
      </c>
      <c r="H170">
        <v>7.0000000000000007E-2</v>
      </c>
      <c r="I170">
        <v>7.0000000000000007E-2</v>
      </c>
    </row>
    <row r="171" spans="1:9" x14ac:dyDescent="0.25">
      <c r="A171" s="34">
        <v>44730</v>
      </c>
      <c r="B171" t="s">
        <v>408</v>
      </c>
      <c r="C171" t="s">
        <v>331</v>
      </c>
      <c r="D171" t="s">
        <v>100</v>
      </c>
      <c r="E171" t="s">
        <v>409</v>
      </c>
      <c r="F171">
        <v>0.46</v>
      </c>
      <c r="G171">
        <v>0</v>
      </c>
      <c r="H171">
        <v>0.08</v>
      </c>
      <c r="I171">
        <v>0.08</v>
      </c>
    </row>
    <row r="172" spans="1:9" x14ac:dyDescent="0.25">
      <c r="A172" s="34">
        <v>44730</v>
      </c>
      <c r="B172" t="s">
        <v>410</v>
      </c>
      <c r="C172" t="s">
        <v>331</v>
      </c>
      <c r="D172" t="s">
        <v>49</v>
      </c>
      <c r="E172" t="s">
        <v>411</v>
      </c>
      <c r="F172">
        <v>0.33</v>
      </c>
      <c r="G172">
        <v>0</v>
      </c>
      <c r="H172">
        <v>0.06</v>
      </c>
      <c r="I172">
        <v>0.06</v>
      </c>
    </row>
    <row r="173" spans="1:9" x14ac:dyDescent="0.25">
      <c r="A173" s="34">
        <v>44730</v>
      </c>
      <c r="B173" t="s">
        <v>412</v>
      </c>
      <c r="C173" t="s">
        <v>331</v>
      </c>
      <c r="D173" t="s">
        <v>59</v>
      </c>
      <c r="E173" t="s">
        <v>413</v>
      </c>
      <c r="F173">
        <v>0.17</v>
      </c>
      <c r="G173">
        <v>0</v>
      </c>
      <c r="H173">
        <v>0.03</v>
      </c>
      <c r="I173">
        <v>0.03</v>
      </c>
    </row>
    <row r="174" spans="1:9" x14ac:dyDescent="0.25">
      <c r="A174" s="34">
        <v>44730</v>
      </c>
      <c r="B174" t="s">
        <v>414</v>
      </c>
      <c r="C174" t="s">
        <v>331</v>
      </c>
      <c r="D174" t="s">
        <v>87</v>
      </c>
      <c r="E174" t="s">
        <v>415</v>
      </c>
      <c r="F174">
        <v>0.16</v>
      </c>
      <c r="G174">
        <v>0</v>
      </c>
      <c r="H174">
        <v>0.03</v>
      </c>
      <c r="I174">
        <v>0.03</v>
      </c>
    </row>
    <row r="175" spans="1:9" x14ac:dyDescent="0.25">
      <c r="A175" s="34">
        <v>44730</v>
      </c>
      <c r="B175" t="s">
        <v>416</v>
      </c>
      <c r="C175" t="s">
        <v>331</v>
      </c>
      <c r="D175" t="s">
        <v>46</v>
      </c>
      <c r="E175" t="s">
        <v>417</v>
      </c>
      <c r="F175">
        <v>0.15</v>
      </c>
      <c r="G175">
        <v>0</v>
      </c>
      <c r="H175">
        <v>0.03</v>
      </c>
      <c r="I175">
        <v>0.03</v>
      </c>
    </row>
    <row r="176" spans="1:9" x14ac:dyDescent="0.25">
      <c r="A176" s="34">
        <v>44729</v>
      </c>
      <c r="B176" t="s">
        <v>418</v>
      </c>
      <c r="C176" t="s">
        <v>419</v>
      </c>
      <c r="D176" t="s">
        <v>59</v>
      </c>
      <c r="E176" t="s">
        <v>420</v>
      </c>
      <c r="F176">
        <v>0</v>
      </c>
      <c r="G176">
        <v>0.71</v>
      </c>
      <c r="H176">
        <v>0</v>
      </c>
      <c r="I176">
        <v>0</v>
      </c>
    </row>
    <row r="177" spans="1:9" x14ac:dyDescent="0.25">
      <c r="A177" s="34">
        <v>44729</v>
      </c>
      <c r="B177" t="s">
        <v>421</v>
      </c>
      <c r="C177" t="s">
        <v>331</v>
      </c>
      <c r="D177" t="s">
        <v>46</v>
      </c>
      <c r="E177" t="s">
        <v>422</v>
      </c>
      <c r="F177">
        <v>0.19</v>
      </c>
      <c r="G177">
        <v>0</v>
      </c>
      <c r="H177">
        <v>0.03</v>
      </c>
      <c r="I177">
        <v>0.03</v>
      </c>
    </row>
    <row r="178" spans="1:9" x14ac:dyDescent="0.25">
      <c r="A178" s="34">
        <v>44729</v>
      </c>
      <c r="B178" t="s">
        <v>423</v>
      </c>
      <c r="C178" t="s">
        <v>419</v>
      </c>
      <c r="D178" t="s">
        <v>46</v>
      </c>
      <c r="E178" t="s">
        <v>424</v>
      </c>
      <c r="F178">
        <v>0</v>
      </c>
      <c r="G178">
        <v>0.45</v>
      </c>
      <c r="H178">
        <v>0</v>
      </c>
      <c r="I178">
        <v>0</v>
      </c>
    </row>
    <row r="179" spans="1:9" x14ac:dyDescent="0.25">
      <c r="A179" s="34">
        <v>44728</v>
      </c>
      <c r="B179" t="s">
        <v>425</v>
      </c>
      <c r="C179" t="s">
        <v>419</v>
      </c>
      <c r="D179" t="s">
        <v>72</v>
      </c>
      <c r="E179" t="s">
        <v>426</v>
      </c>
      <c r="F179">
        <v>0</v>
      </c>
      <c r="G179">
        <v>0.56000000000000005</v>
      </c>
      <c r="H179">
        <v>0</v>
      </c>
      <c r="I179">
        <v>0</v>
      </c>
    </row>
    <row r="180" spans="1:9" x14ac:dyDescent="0.25">
      <c r="A180" s="34">
        <v>44727</v>
      </c>
      <c r="B180" t="s">
        <v>427</v>
      </c>
      <c r="C180" t="s">
        <v>419</v>
      </c>
      <c r="D180" t="s">
        <v>231</v>
      </c>
      <c r="E180" t="s">
        <v>428</v>
      </c>
      <c r="F180">
        <v>0.02</v>
      </c>
      <c r="G180">
        <v>0.45</v>
      </c>
      <c r="H180">
        <v>0</v>
      </c>
      <c r="I180">
        <v>0</v>
      </c>
    </row>
    <row r="181" spans="1:9" x14ac:dyDescent="0.25">
      <c r="A181" s="34">
        <v>44726</v>
      </c>
      <c r="B181" t="s">
        <v>429</v>
      </c>
      <c r="C181" t="s">
        <v>430</v>
      </c>
      <c r="D181" t="s">
        <v>72</v>
      </c>
      <c r="E181" t="s">
        <v>431</v>
      </c>
      <c r="F181">
        <v>0.63</v>
      </c>
      <c r="G181">
        <v>0</v>
      </c>
      <c r="H181">
        <v>0.09</v>
      </c>
      <c r="I181">
        <v>0.09</v>
      </c>
    </row>
    <row r="182" spans="1:9" x14ac:dyDescent="0.25">
      <c r="A182" s="34">
        <v>44723</v>
      </c>
      <c r="B182" t="s">
        <v>432</v>
      </c>
      <c r="C182" t="s">
        <v>433</v>
      </c>
      <c r="D182" t="s">
        <v>56</v>
      </c>
      <c r="E182" t="s">
        <v>434</v>
      </c>
      <c r="F182">
        <v>0.44</v>
      </c>
      <c r="G182">
        <v>0.31</v>
      </c>
      <c r="H182">
        <v>0.04</v>
      </c>
      <c r="I182">
        <v>0.04</v>
      </c>
    </row>
    <row r="183" spans="1:9" x14ac:dyDescent="0.25">
      <c r="A183" s="34">
        <v>44716</v>
      </c>
      <c r="B183" t="s">
        <v>435</v>
      </c>
      <c r="C183">
        <v>2600</v>
      </c>
      <c r="D183" t="s">
        <v>104</v>
      </c>
      <c r="E183" t="s">
        <v>436</v>
      </c>
      <c r="F183">
        <v>0.05</v>
      </c>
      <c r="G183">
        <v>0</v>
      </c>
      <c r="H183">
        <v>0.01</v>
      </c>
      <c r="I183">
        <v>0.01</v>
      </c>
    </row>
    <row r="184" spans="1:9" x14ac:dyDescent="0.25">
      <c r="A184" s="34">
        <v>44716</v>
      </c>
      <c r="B184" t="s">
        <v>437</v>
      </c>
      <c r="C184">
        <v>2600</v>
      </c>
      <c r="D184" t="s">
        <v>56</v>
      </c>
      <c r="E184" t="s">
        <v>438</v>
      </c>
      <c r="F184">
        <v>0.04</v>
      </c>
      <c r="G184">
        <v>0</v>
      </c>
      <c r="H184">
        <v>0.01</v>
      </c>
      <c r="I184">
        <v>0.01</v>
      </c>
    </row>
    <row r="185" spans="1:9" x14ac:dyDescent="0.25">
      <c r="A185" s="34">
        <v>44716</v>
      </c>
      <c r="B185" t="s">
        <v>439</v>
      </c>
      <c r="C185">
        <v>2600</v>
      </c>
      <c r="D185" t="s">
        <v>56</v>
      </c>
      <c r="E185" t="s">
        <v>440</v>
      </c>
      <c r="F185">
        <v>0.03</v>
      </c>
      <c r="G185">
        <v>0</v>
      </c>
      <c r="H185">
        <v>0.01</v>
      </c>
      <c r="I185">
        <v>0.01</v>
      </c>
    </row>
    <row r="186" spans="1:9" x14ac:dyDescent="0.25">
      <c r="A186" s="34">
        <v>44716</v>
      </c>
      <c r="B186" t="s">
        <v>441</v>
      </c>
      <c r="C186">
        <v>2600</v>
      </c>
      <c r="D186" t="s">
        <v>169</v>
      </c>
      <c r="E186" t="s">
        <v>442</v>
      </c>
      <c r="F186">
        <v>0.03</v>
      </c>
      <c r="G186">
        <v>0</v>
      </c>
      <c r="H186">
        <v>0.01</v>
      </c>
      <c r="I186">
        <v>0.01</v>
      </c>
    </row>
    <row r="187" spans="1:9" x14ac:dyDescent="0.25">
      <c r="A187" s="34">
        <v>44716</v>
      </c>
      <c r="B187" t="s">
        <v>443</v>
      </c>
      <c r="C187">
        <v>2600</v>
      </c>
      <c r="D187" t="s">
        <v>56</v>
      </c>
      <c r="E187" t="s">
        <v>444</v>
      </c>
      <c r="F187">
        <v>0.03</v>
      </c>
      <c r="G187">
        <v>0</v>
      </c>
      <c r="H187">
        <v>0.01</v>
      </c>
      <c r="I187">
        <v>0.01</v>
      </c>
    </row>
    <row r="188" spans="1:9" x14ac:dyDescent="0.25">
      <c r="A188" s="34">
        <v>44716</v>
      </c>
      <c r="B188" t="s">
        <v>445</v>
      </c>
      <c r="C188">
        <v>2600</v>
      </c>
      <c r="D188" t="s">
        <v>56</v>
      </c>
      <c r="E188" t="s">
        <v>446</v>
      </c>
      <c r="F188">
        <v>0.03</v>
      </c>
      <c r="G188">
        <v>0</v>
      </c>
      <c r="H188">
        <v>0.01</v>
      </c>
      <c r="I188">
        <v>0.01</v>
      </c>
    </row>
    <row r="189" spans="1:9" x14ac:dyDescent="0.25">
      <c r="A189" s="34">
        <v>44716</v>
      </c>
      <c r="B189" t="s">
        <v>447</v>
      </c>
      <c r="C189">
        <v>2600</v>
      </c>
      <c r="D189" t="s">
        <v>87</v>
      </c>
      <c r="E189" t="s">
        <v>448</v>
      </c>
      <c r="F189">
        <v>0.02</v>
      </c>
      <c r="G189">
        <v>0</v>
      </c>
      <c r="H189">
        <v>0</v>
      </c>
      <c r="I189">
        <v>0</v>
      </c>
    </row>
    <row r="190" spans="1:9" x14ac:dyDescent="0.25">
      <c r="A190" s="34">
        <v>44715</v>
      </c>
      <c r="B190" t="s">
        <v>449</v>
      </c>
      <c r="C190">
        <v>2600</v>
      </c>
      <c r="D190" t="s">
        <v>49</v>
      </c>
      <c r="E190" t="s">
        <v>450</v>
      </c>
      <c r="F190">
        <v>0.12</v>
      </c>
      <c r="G190">
        <v>0</v>
      </c>
      <c r="H190">
        <v>0.02</v>
      </c>
      <c r="I190">
        <v>0.02</v>
      </c>
    </row>
    <row r="191" spans="1:9" x14ac:dyDescent="0.25">
      <c r="A191" s="34">
        <v>44715</v>
      </c>
      <c r="B191" t="s">
        <v>451</v>
      </c>
      <c r="C191">
        <v>2600</v>
      </c>
      <c r="D191" t="s">
        <v>231</v>
      </c>
      <c r="E191" t="s">
        <v>452</v>
      </c>
      <c r="F191">
        <v>0.08</v>
      </c>
      <c r="G191">
        <v>0</v>
      </c>
      <c r="H191">
        <v>0.02</v>
      </c>
      <c r="I191">
        <v>0.02</v>
      </c>
    </row>
    <row r="192" spans="1:9" x14ac:dyDescent="0.25">
      <c r="A192" s="34">
        <v>44715</v>
      </c>
      <c r="B192" t="s">
        <v>453</v>
      </c>
      <c r="C192">
        <v>2600</v>
      </c>
      <c r="D192" t="s">
        <v>56</v>
      </c>
      <c r="E192" t="s">
        <v>454</v>
      </c>
      <c r="F192">
        <v>0.05</v>
      </c>
      <c r="G192">
        <v>0</v>
      </c>
      <c r="H192">
        <v>0.01</v>
      </c>
      <c r="I192">
        <v>0.01</v>
      </c>
    </row>
    <row r="193" spans="1:9" x14ac:dyDescent="0.25">
      <c r="A193" s="34">
        <v>44715</v>
      </c>
      <c r="B193" t="s">
        <v>455</v>
      </c>
      <c r="C193">
        <v>2600</v>
      </c>
      <c r="D193" t="s">
        <v>56</v>
      </c>
      <c r="E193" t="s">
        <v>456</v>
      </c>
      <c r="F193">
        <v>0.04</v>
      </c>
      <c r="G193">
        <v>0</v>
      </c>
      <c r="H193">
        <v>0.01</v>
      </c>
      <c r="I193">
        <v>0.01</v>
      </c>
    </row>
    <row r="194" spans="1:9" x14ac:dyDescent="0.25">
      <c r="A194" s="34">
        <v>44715</v>
      </c>
      <c r="B194" t="s">
        <v>457</v>
      </c>
      <c r="C194">
        <v>2600</v>
      </c>
      <c r="D194" t="s">
        <v>56</v>
      </c>
      <c r="E194" t="s">
        <v>458</v>
      </c>
      <c r="F194">
        <v>0.04</v>
      </c>
      <c r="G194">
        <v>0</v>
      </c>
      <c r="H194">
        <v>0.01</v>
      </c>
      <c r="I194">
        <v>0.01</v>
      </c>
    </row>
    <row r="195" spans="1:9" x14ac:dyDescent="0.25">
      <c r="A195" s="34">
        <v>44715</v>
      </c>
      <c r="B195" t="s">
        <v>459</v>
      </c>
      <c r="C195">
        <v>2600</v>
      </c>
      <c r="D195" t="s">
        <v>56</v>
      </c>
      <c r="E195" t="s">
        <v>460</v>
      </c>
      <c r="F195">
        <v>0.04</v>
      </c>
      <c r="G195">
        <v>0</v>
      </c>
      <c r="H195">
        <v>0.01</v>
      </c>
      <c r="I195">
        <v>0.01</v>
      </c>
    </row>
    <row r="196" spans="1:9" x14ac:dyDescent="0.25">
      <c r="A196" s="34">
        <v>44715</v>
      </c>
      <c r="B196" t="s">
        <v>461</v>
      </c>
      <c r="C196">
        <v>2600</v>
      </c>
      <c r="D196" t="s">
        <v>56</v>
      </c>
      <c r="E196" t="s">
        <v>462</v>
      </c>
      <c r="F196">
        <v>0.02</v>
      </c>
      <c r="G196">
        <v>0</v>
      </c>
      <c r="H196">
        <v>0</v>
      </c>
      <c r="I19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8866-2E9C-4F34-93D5-443C1BA48016}">
  <dimension ref="A1:A30"/>
  <sheetViews>
    <sheetView workbookViewId="0">
      <selection activeCell="D15" sqref="D15"/>
    </sheetView>
  </sheetViews>
  <sheetFormatPr defaultRowHeight="15" x14ac:dyDescent="0.25"/>
  <cols>
    <col min="1" max="1" width="24.42578125" bestFit="1" customWidth="1"/>
  </cols>
  <sheetData>
    <row r="1" spans="1:1" x14ac:dyDescent="0.25">
      <c r="A1" s="35" t="s">
        <v>472</v>
      </c>
    </row>
    <row r="2" spans="1:1" x14ac:dyDescent="0.25">
      <c r="A2" s="36">
        <v>44715</v>
      </c>
    </row>
    <row r="3" spans="1:1" x14ac:dyDescent="0.25">
      <c r="A3" s="36">
        <v>44716</v>
      </c>
    </row>
    <row r="4" spans="1:1" x14ac:dyDescent="0.25">
      <c r="A4" s="36">
        <v>44723</v>
      </c>
    </row>
    <row r="5" spans="1:1" x14ac:dyDescent="0.25">
      <c r="A5" s="36">
        <v>44726</v>
      </c>
    </row>
    <row r="6" spans="1:1" x14ac:dyDescent="0.25">
      <c r="A6" s="36">
        <v>44727</v>
      </c>
    </row>
    <row r="7" spans="1:1" x14ac:dyDescent="0.25">
      <c r="A7" s="36">
        <v>44728</v>
      </c>
    </row>
    <row r="8" spans="1:1" x14ac:dyDescent="0.25">
      <c r="A8" s="36">
        <v>44729</v>
      </c>
    </row>
    <row r="9" spans="1:1" x14ac:dyDescent="0.25">
      <c r="A9" s="36">
        <v>44730</v>
      </c>
    </row>
    <row r="10" spans="1:1" x14ac:dyDescent="0.25">
      <c r="A10" s="36">
        <v>44731</v>
      </c>
    </row>
    <row r="11" spans="1:1" x14ac:dyDescent="0.25">
      <c r="A11" s="36">
        <v>44732</v>
      </c>
    </row>
    <row r="12" spans="1:1" x14ac:dyDescent="0.25">
      <c r="A12" s="36">
        <v>44733</v>
      </c>
    </row>
    <row r="13" spans="1:1" x14ac:dyDescent="0.25">
      <c r="A13" s="36">
        <v>44734</v>
      </c>
    </row>
    <row r="14" spans="1:1" x14ac:dyDescent="0.25">
      <c r="A14" s="36">
        <v>44735</v>
      </c>
    </row>
    <row r="15" spans="1:1" x14ac:dyDescent="0.25">
      <c r="A15" s="36">
        <v>44736</v>
      </c>
    </row>
    <row r="16" spans="1:1" x14ac:dyDescent="0.25">
      <c r="A16" s="36">
        <v>44737</v>
      </c>
    </row>
    <row r="17" spans="1:1" x14ac:dyDescent="0.25">
      <c r="A17" s="36">
        <v>44738</v>
      </c>
    </row>
    <row r="18" spans="1:1" x14ac:dyDescent="0.25">
      <c r="A18" s="36">
        <v>44739</v>
      </c>
    </row>
    <row r="19" spans="1:1" x14ac:dyDescent="0.25">
      <c r="A19" s="36">
        <v>44740</v>
      </c>
    </row>
    <row r="20" spans="1:1" x14ac:dyDescent="0.25">
      <c r="A20" s="36">
        <v>44741</v>
      </c>
    </row>
    <row r="21" spans="1:1" x14ac:dyDescent="0.25">
      <c r="A21" s="36">
        <v>44742</v>
      </c>
    </row>
    <row r="22" spans="1:1" x14ac:dyDescent="0.25">
      <c r="A22" s="36">
        <v>44743</v>
      </c>
    </row>
    <row r="23" spans="1:1" x14ac:dyDescent="0.25">
      <c r="A23" s="36">
        <v>44744</v>
      </c>
    </row>
    <row r="24" spans="1:1" x14ac:dyDescent="0.25">
      <c r="A24" s="36">
        <v>44745</v>
      </c>
    </row>
    <row r="25" spans="1:1" x14ac:dyDescent="0.25">
      <c r="A25" s="36">
        <v>44746</v>
      </c>
    </row>
    <row r="26" spans="1:1" x14ac:dyDescent="0.25">
      <c r="A26" s="36">
        <v>44747</v>
      </c>
    </row>
    <row r="27" spans="1:1" x14ac:dyDescent="0.25">
      <c r="A27" s="36">
        <v>44748</v>
      </c>
    </row>
    <row r="28" spans="1:1" x14ac:dyDescent="0.25">
      <c r="A28" s="36">
        <v>44749</v>
      </c>
    </row>
    <row r="29" spans="1:1" x14ac:dyDescent="0.25">
      <c r="A29" s="36">
        <v>44750</v>
      </c>
    </row>
    <row r="30" spans="1:1" x14ac:dyDescent="0.25">
      <c r="A30" s="36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B514-1AF5-4DF3-B1AE-EB61B03EE271}">
  <dimension ref="A1:F11"/>
  <sheetViews>
    <sheetView workbookViewId="0">
      <selection activeCell="F4" sqref="F4"/>
    </sheetView>
  </sheetViews>
  <sheetFormatPr defaultRowHeight="15" x14ac:dyDescent="0.25"/>
  <cols>
    <col min="1" max="1" width="9.5703125" customWidth="1"/>
    <col min="2" max="2" width="31.42578125" customWidth="1"/>
    <col min="3" max="3" width="16.7109375" customWidth="1"/>
    <col min="5" max="5" width="11.5703125" bestFit="1" customWidth="1"/>
    <col min="6" max="6" width="14.5703125" customWidth="1"/>
  </cols>
  <sheetData>
    <row r="1" spans="1:6" ht="23.25" x14ac:dyDescent="0.35">
      <c r="A1" s="37" t="s">
        <v>0</v>
      </c>
      <c r="B1" s="37"/>
    </row>
    <row r="2" spans="1:6" ht="15.75" x14ac:dyDescent="0.25">
      <c r="A2" s="38" t="s">
        <v>1</v>
      </c>
      <c r="B2" s="38"/>
    </row>
    <row r="3" spans="1:6" x14ac:dyDescent="0.25">
      <c r="A3" s="18" t="s">
        <v>2</v>
      </c>
      <c r="B3" s="19" t="s">
        <v>39</v>
      </c>
      <c r="C3" s="20" t="s">
        <v>40</v>
      </c>
      <c r="D3" s="21" t="s">
        <v>41</v>
      </c>
      <c r="E3" s="22" t="s">
        <v>42</v>
      </c>
      <c r="F3" s="23" t="s">
        <v>43</v>
      </c>
    </row>
    <row r="4" spans="1:6" x14ac:dyDescent="0.25">
      <c r="A4" s="24">
        <v>9001</v>
      </c>
      <c r="B4" s="25">
        <v>19</v>
      </c>
      <c r="C4" s="26">
        <v>3200</v>
      </c>
      <c r="D4" s="27">
        <v>0.15</v>
      </c>
      <c r="E4" s="28">
        <v>3680</v>
      </c>
      <c r="F4" s="29">
        <f>Table13[[#This Row],[Price]]-Table13[[#This Row],[Cost]]</f>
        <v>480</v>
      </c>
    </row>
    <row r="5" spans="1:6" x14ac:dyDescent="0.25">
      <c r="A5" s="24">
        <v>9002</v>
      </c>
      <c r="B5" s="25">
        <v>24</v>
      </c>
      <c r="C5" s="26">
        <v>12000</v>
      </c>
      <c r="D5" s="27">
        <v>0.2</v>
      </c>
      <c r="E5" s="28">
        <v>14400</v>
      </c>
      <c r="F5" s="29">
        <f>Table13[[#This Row],[Price]]-Table13[[#This Row],[Cost]]</f>
        <v>2400</v>
      </c>
    </row>
    <row r="6" spans="1:6" x14ac:dyDescent="0.25">
      <c r="A6" s="24">
        <v>9003</v>
      </c>
      <c r="B6" s="25">
        <v>16</v>
      </c>
      <c r="C6" s="26">
        <v>16000</v>
      </c>
      <c r="D6" s="27">
        <v>0.17</v>
      </c>
      <c r="E6" s="28">
        <v>18720</v>
      </c>
      <c r="F6" s="29">
        <f>Table13[[#This Row],[Price]]-Table13[[#This Row],[Cost]]</f>
        <v>2720</v>
      </c>
    </row>
    <row r="7" spans="1:6" x14ac:dyDescent="0.25">
      <c r="A7" s="24">
        <v>9004</v>
      </c>
      <c r="B7" s="25">
        <v>26</v>
      </c>
      <c r="C7" s="26">
        <v>5200</v>
      </c>
      <c r="D7" s="27">
        <v>0.14000000000000001</v>
      </c>
      <c r="E7" s="28">
        <v>5928</v>
      </c>
      <c r="F7" s="29">
        <f>Table13[[#This Row],[Price]]-Table13[[#This Row],[Cost]]</f>
        <v>728</v>
      </c>
    </row>
    <row r="8" spans="1:6" x14ac:dyDescent="0.25">
      <c r="A8" s="24">
        <v>9005</v>
      </c>
      <c r="B8" s="25">
        <v>7</v>
      </c>
      <c r="C8" s="26">
        <v>6000</v>
      </c>
      <c r="D8" s="27">
        <v>0.19</v>
      </c>
      <c r="E8" s="28">
        <v>7140</v>
      </c>
      <c r="F8" s="29">
        <f>Table13[[#This Row],[Price]]-Table13[[#This Row],[Cost]]</f>
        <v>1140</v>
      </c>
    </row>
    <row r="9" spans="1:6" x14ac:dyDescent="0.25">
      <c r="A9" s="24">
        <v>9006</v>
      </c>
      <c r="B9" s="30">
        <v>27</v>
      </c>
      <c r="C9" s="31">
        <v>2000</v>
      </c>
      <c r="D9" s="27">
        <v>0.18</v>
      </c>
      <c r="E9" s="28">
        <v>2360</v>
      </c>
      <c r="F9" s="29">
        <f>Table13[[#This Row],[Price]]-Table13[[#This Row],[Cost]]</f>
        <v>360</v>
      </c>
    </row>
    <row r="10" spans="1:6" x14ac:dyDescent="0.25">
      <c r="A10" s="24">
        <v>9007</v>
      </c>
      <c r="B10" s="22">
        <v>24</v>
      </c>
      <c r="C10" s="32">
        <v>1200</v>
      </c>
      <c r="D10" s="33">
        <v>0.1</v>
      </c>
      <c r="E10" s="28">
        <v>1320</v>
      </c>
      <c r="F10" s="29">
        <f>Table13[[#This Row],[Price]]-Table13[[#This Row],[Cost]]</f>
        <v>120</v>
      </c>
    </row>
    <row r="11" spans="1:6" x14ac:dyDescent="0.25">
      <c r="A11" s="24">
        <v>9008</v>
      </c>
      <c r="B11" s="25">
        <v>14</v>
      </c>
      <c r="C11" s="28">
        <v>12000</v>
      </c>
      <c r="D11" s="33">
        <v>0.13</v>
      </c>
      <c r="E11" s="28">
        <v>13560</v>
      </c>
      <c r="F11" s="29">
        <f>Table13[[#This Row],[Price]]-Table13[[#This Row],[Cost]]</f>
        <v>1560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6074-C8F8-4C5E-AB79-38108474A79A}">
  <dimension ref="A1:F45"/>
  <sheetViews>
    <sheetView tabSelected="1" workbookViewId="0">
      <selection activeCell="G13" sqref="G13"/>
    </sheetView>
  </sheetViews>
  <sheetFormatPr defaultRowHeight="15" x14ac:dyDescent="0.25"/>
  <cols>
    <col min="1" max="1" width="9.5703125" customWidth="1"/>
    <col min="2" max="3" width="31.42578125" customWidth="1"/>
    <col min="6" max="6" width="14.5703125" customWidth="1"/>
  </cols>
  <sheetData>
    <row r="1" spans="1:6" ht="23.25" x14ac:dyDescent="0.35">
      <c r="A1" s="37" t="s">
        <v>0</v>
      </c>
      <c r="B1" s="37"/>
    </row>
    <row r="2" spans="1:6" ht="15.75" x14ac:dyDescent="0.25">
      <c r="A2" s="38" t="s">
        <v>1</v>
      </c>
      <c r="B2" s="38"/>
    </row>
    <row r="3" spans="1:6" x14ac:dyDescent="0.25">
      <c r="A3" s="10" t="s">
        <v>2</v>
      </c>
      <c r="B3" s="11" t="s">
        <v>3</v>
      </c>
      <c r="C3" s="12" t="s">
        <v>4</v>
      </c>
      <c r="D3" s="3" t="s">
        <v>5</v>
      </c>
      <c r="E3" s="2" t="s">
        <v>6</v>
      </c>
      <c r="F3" s="4" t="s">
        <v>7</v>
      </c>
    </row>
    <row r="4" spans="1:6" x14ac:dyDescent="0.25">
      <c r="A4" s="13">
        <v>1001</v>
      </c>
      <c r="B4" s="1" t="s">
        <v>8</v>
      </c>
      <c r="C4" s="14" t="s">
        <v>11</v>
      </c>
      <c r="D4" s="5">
        <v>1250</v>
      </c>
      <c r="E4" s="1" t="s">
        <v>12</v>
      </c>
      <c r="F4" s="6">
        <v>3</v>
      </c>
    </row>
    <row r="5" spans="1:6" x14ac:dyDescent="0.25">
      <c r="A5" s="13">
        <v>1005</v>
      </c>
      <c r="B5" s="1" t="s">
        <v>9</v>
      </c>
      <c r="C5" s="14" t="s">
        <v>13</v>
      </c>
      <c r="D5" s="5">
        <v>775</v>
      </c>
      <c r="E5" s="1" t="s">
        <v>14</v>
      </c>
      <c r="F5" s="6">
        <v>4</v>
      </c>
    </row>
    <row r="6" spans="1:6" x14ac:dyDescent="0.25">
      <c r="A6" s="13">
        <v>1004</v>
      </c>
      <c r="B6" s="1" t="s">
        <v>15</v>
      </c>
      <c r="C6" s="14" t="s">
        <v>11</v>
      </c>
      <c r="D6" s="5">
        <v>1400</v>
      </c>
      <c r="E6" s="1" t="s">
        <v>16</v>
      </c>
      <c r="F6" s="6">
        <v>45</v>
      </c>
    </row>
    <row r="7" spans="1:6" x14ac:dyDescent="0.25">
      <c r="A7" s="13">
        <v>1003</v>
      </c>
      <c r="B7" s="1" t="s">
        <v>10</v>
      </c>
      <c r="C7" s="14" t="s">
        <v>11</v>
      </c>
      <c r="D7" s="5">
        <v>2255</v>
      </c>
      <c r="E7" s="1" t="s">
        <v>17</v>
      </c>
      <c r="F7" s="6">
        <v>28</v>
      </c>
    </row>
    <row r="8" spans="1:6" x14ac:dyDescent="0.25">
      <c r="A8" s="13">
        <v>1008</v>
      </c>
      <c r="B8" s="1" t="s">
        <v>18</v>
      </c>
      <c r="C8" s="14" t="s">
        <v>19</v>
      </c>
      <c r="D8" s="5">
        <v>585</v>
      </c>
      <c r="E8" s="1" t="s">
        <v>17</v>
      </c>
      <c r="F8" s="6">
        <v>8</v>
      </c>
    </row>
    <row r="9" spans="1:6" x14ac:dyDescent="0.25">
      <c r="A9" s="15">
        <v>1012</v>
      </c>
      <c r="B9" s="16" t="s">
        <v>20</v>
      </c>
      <c r="C9" s="17" t="s">
        <v>21</v>
      </c>
      <c r="D9" s="5">
        <v>640</v>
      </c>
      <c r="E9" s="1" t="s">
        <v>22</v>
      </c>
      <c r="F9" s="6">
        <v>48</v>
      </c>
    </row>
    <row r="10" spans="1:6" x14ac:dyDescent="0.25">
      <c r="A10" s="3">
        <v>1002</v>
      </c>
      <c r="B10" s="2" t="s">
        <v>23</v>
      </c>
      <c r="C10" s="2" t="s">
        <v>11</v>
      </c>
      <c r="D10" s="1">
        <v>2195</v>
      </c>
      <c r="E10" s="1" t="s">
        <v>24</v>
      </c>
      <c r="F10" s="6">
        <v>30</v>
      </c>
    </row>
    <row r="11" spans="1:6" x14ac:dyDescent="0.25">
      <c r="A11" s="5">
        <v>1011</v>
      </c>
      <c r="B11" s="1" t="s">
        <v>25</v>
      </c>
      <c r="C11" s="1" t="s">
        <v>13</v>
      </c>
      <c r="D11" s="1">
        <v>795</v>
      </c>
      <c r="E11" s="1" t="s">
        <v>24</v>
      </c>
      <c r="F11" s="6">
        <v>17</v>
      </c>
    </row>
    <row r="12" spans="1:6" x14ac:dyDescent="0.25">
      <c r="A12" s="5">
        <v>1012</v>
      </c>
      <c r="B12" s="1" t="s">
        <v>9</v>
      </c>
      <c r="C12" s="1" t="s">
        <v>13</v>
      </c>
      <c r="D12" s="1">
        <v>1989</v>
      </c>
      <c r="E12" s="1" t="s">
        <v>26</v>
      </c>
      <c r="F12" s="6">
        <v>6</v>
      </c>
    </row>
    <row r="13" spans="1:6" x14ac:dyDescent="0.25">
      <c r="A13" s="5">
        <v>1013</v>
      </c>
      <c r="B13" s="1" t="s">
        <v>9</v>
      </c>
      <c r="C13" s="1" t="s">
        <v>13</v>
      </c>
      <c r="D13" s="1">
        <v>948</v>
      </c>
      <c r="E13" s="1" t="s">
        <v>27</v>
      </c>
      <c r="F13" s="6">
        <v>19</v>
      </c>
    </row>
    <row r="14" spans="1:6" x14ac:dyDescent="0.25">
      <c r="A14" s="5">
        <v>1014</v>
      </c>
      <c r="B14" s="1" t="s">
        <v>10</v>
      </c>
      <c r="C14" s="1" t="s">
        <v>11</v>
      </c>
      <c r="D14" s="1">
        <v>1599</v>
      </c>
      <c r="E14" s="1" t="s">
        <v>28</v>
      </c>
      <c r="F14" s="6">
        <v>6</v>
      </c>
    </row>
    <row r="15" spans="1:6" x14ac:dyDescent="0.25">
      <c r="A15" s="5">
        <v>1015</v>
      </c>
      <c r="B15" s="1" t="s">
        <v>29</v>
      </c>
      <c r="C15" s="1" t="s">
        <v>21</v>
      </c>
      <c r="D15" s="1">
        <v>1227</v>
      </c>
      <c r="E15" s="1" t="s">
        <v>30</v>
      </c>
      <c r="F15" s="6">
        <v>3</v>
      </c>
    </row>
    <row r="16" spans="1:6" x14ac:dyDescent="0.25">
      <c r="A16" s="5">
        <v>1016</v>
      </c>
      <c r="B16" s="1" t="s">
        <v>31</v>
      </c>
      <c r="C16" s="1" t="s">
        <v>13</v>
      </c>
      <c r="D16" s="1">
        <v>1744</v>
      </c>
      <c r="E16" s="1" t="s">
        <v>27</v>
      </c>
      <c r="F16" s="6">
        <v>20</v>
      </c>
    </row>
    <row r="17" spans="1:6" x14ac:dyDescent="0.25">
      <c r="A17" s="5">
        <v>1017</v>
      </c>
      <c r="B17" s="1" t="s">
        <v>32</v>
      </c>
      <c r="C17" s="1" t="s">
        <v>19</v>
      </c>
      <c r="D17" s="1">
        <v>2850</v>
      </c>
      <c r="E17" s="1" t="s">
        <v>30</v>
      </c>
      <c r="F17" s="6">
        <v>12</v>
      </c>
    </row>
    <row r="18" spans="1:6" x14ac:dyDescent="0.25">
      <c r="A18" s="5">
        <v>1018</v>
      </c>
      <c r="B18" s="1" t="s">
        <v>29</v>
      </c>
      <c r="C18" s="1" t="s">
        <v>21</v>
      </c>
      <c r="D18" s="1">
        <v>1865</v>
      </c>
      <c r="E18" s="1" t="s">
        <v>26</v>
      </c>
      <c r="F18" s="6">
        <v>10</v>
      </c>
    </row>
    <row r="19" spans="1:6" x14ac:dyDescent="0.25">
      <c r="A19" s="5">
        <v>1019</v>
      </c>
      <c r="B19" s="1" t="s">
        <v>15</v>
      </c>
      <c r="C19" s="1" t="s">
        <v>11</v>
      </c>
      <c r="D19" s="1">
        <v>2854</v>
      </c>
      <c r="E19" s="1" t="s">
        <v>33</v>
      </c>
      <c r="F19" s="6">
        <v>16</v>
      </c>
    </row>
    <row r="20" spans="1:6" x14ac:dyDescent="0.25">
      <c r="A20" s="5">
        <v>1020</v>
      </c>
      <c r="B20" s="1" t="s">
        <v>29</v>
      </c>
      <c r="C20" s="1" t="s">
        <v>21</v>
      </c>
      <c r="D20" s="1">
        <v>2668</v>
      </c>
      <c r="E20" s="1" t="s">
        <v>34</v>
      </c>
      <c r="F20" s="6">
        <v>10</v>
      </c>
    </row>
    <row r="21" spans="1:6" x14ac:dyDescent="0.25">
      <c r="A21" s="5">
        <v>1021</v>
      </c>
      <c r="B21" s="1" t="s">
        <v>32</v>
      </c>
      <c r="C21" s="1" t="s">
        <v>19</v>
      </c>
      <c r="D21" s="1">
        <v>2270</v>
      </c>
      <c r="E21" s="1" t="s">
        <v>34</v>
      </c>
      <c r="F21" s="6">
        <v>12</v>
      </c>
    </row>
    <row r="22" spans="1:6" x14ac:dyDescent="0.25">
      <c r="A22" s="5">
        <v>1022</v>
      </c>
      <c r="B22" s="1" t="s">
        <v>29</v>
      </c>
      <c r="C22" s="1" t="s">
        <v>21</v>
      </c>
      <c r="D22" s="1">
        <v>1924</v>
      </c>
      <c r="E22" s="1" t="s">
        <v>30</v>
      </c>
      <c r="F22" s="6">
        <v>10</v>
      </c>
    </row>
    <row r="23" spans="1:6" x14ac:dyDescent="0.25">
      <c r="A23" s="5">
        <v>1023</v>
      </c>
      <c r="B23" s="1" t="s">
        <v>9</v>
      </c>
      <c r="C23" s="1" t="s">
        <v>13</v>
      </c>
      <c r="D23" s="1">
        <v>1431</v>
      </c>
      <c r="E23" s="1" t="s">
        <v>34</v>
      </c>
      <c r="F23" s="6">
        <v>10</v>
      </c>
    </row>
    <row r="24" spans="1:6" x14ac:dyDescent="0.25">
      <c r="A24" s="5">
        <v>1024</v>
      </c>
      <c r="B24" s="1" t="s">
        <v>9</v>
      </c>
      <c r="C24" s="1" t="s">
        <v>13</v>
      </c>
      <c r="D24" s="1">
        <v>1378</v>
      </c>
      <c r="E24" s="1" t="s">
        <v>35</v>
      </c>
      <c r="F24" s="6">
        <v>9</v>
      </c>
    </row>
    <row r="25" spans="1:6" x14ac:dyDescent="0.25">
      <c r="A25" s="5">
        <v>1025</v>
      </c>
      <c r="B25" s="1" t="s">
        <v>15</v>
      </c>
      <c r="C25" s="1" t="s">
        <v>11</v>
      </c>
      <c r="D25" s="1">
        <v>863</v>
      </c>
      <c r="E25" s="1" t="s">
        <v>33</v>
      </c>
      <c r="F25" s="6">
        <v>17</v>
      </c>
    </row>
    <row r="26" spans="1:6" x14ac:dyDescent="0.25">
      <c r="A26" s="5">
        <v>1026</v>
      </c>
      <c r="B26" s="1" t="s">
        <v>9</v>
      </c>
      <c r="C26" s="1" t="s">
        <v>13</v>
      </c>
      <c r="D26" s="1">
        <v>2306</v>
      </c>
      <c r="E26" s="1" t="s">
        <v>36</v>
      </c>
      <c r="F26" s="6">
        <v>7</v>
      </c>
    </row>
    <row r="27" spans="1:6" x14ac:dyDescent="0.25">
      <c r="A27" s="5">
        <v>1027</v>
      </c>
      <c r="B27" s="1" t="s">
        <v>32</v>
      </c>
      <c r="C27" s="1" t="s">
        <v>19</v>
      </c>
      <c r="D27" s="1">
        <v>1744</v>
      </c>
      <c r="E27" s="1" t="s">
        <v>37</v>
      </c>
      <c r="F27" s="6">
        <v>12</v>
      </c>
    </row>
    <row r="28" spans="1:6" x14ac:dyDescent="0.25">
      <c r="A28" s="5">
        <v>1028</v>
      </c>
      <c r="B28" s="1" t="s">
        <v>9</v>
      </c>
      <c r="C28" s="1" t="s">
        <v>13</v>
      </c>
      <c r="D28" s="1">
        <v>1718</v>
      </c>
      <c r="E28" s="1" t="s">
        <v>33</v>
      </c>
      <c r="F28" s="6">
        <v>11</v>
      </c>
    </row>
    <row r="29" spans="1:6" x14ac:dyDescent="0.25">
      <c r="A29" s="5">
        <v>1029</v>
      </c>
      <c r="B29" s="1" t="s">
        <v>10</v>
      </c>
      <c r="C29" s="1" t="s">
        <v>11</v>
      </c>
      <c r="D29" s="1">
        <v>2707</v>
      </c>
      <c r="E29" s="1" t="s">
        <v>34</v>
      </c>
      <c r="F29" s="6">
        <v>11</v>
      </c>
    </row>
    <row r="30" spans="1:6" x14ac:dyDescent="0.25">
      <c r="A30" s="5">
        <v>1030</v>
      </c>
      <c r="B30" s="1" t="s">
        <v>29</v>
      </c>
      <c r="C30" s="1" t="s">
        <v>21</v>
      </c>
      <c r="D30" s="1">
        <v>1440</v>
      </c>
      <c r="E30" s="1" t="s">
        <v>27</v>
      </c>
      <c r="F30" s="6">
        <v>15</v>
      </c>
    </row>
    <row r="31" spans="1:6" x14ac:dyDescent="0.25">
      <c r="A31" s="5">
        <v>1031</v>
      </c>
      <c r="B31" s="1" t="s">
        <v>31</v>
      </c>
      <c r="C31" s="1" t="s">
        <v>13</v>
      </c>
      <c r="D31" s="1">
        <v>1344</v>
      </c>
      <c r="E31" s="1" t="s">
        <v>36</v>
      </c>
      <c r="F31" s="6">
        <v>8</v>
      </c>
    </row>
    <row r="32" spans="1:6" x14ac:dyDescent="0.25">
      <c r="A32" s="5">
        <v>1032</v>
      </c>
      <c r="B32" s="1" t="s">
        <v>23</v>
      </c>
      <c r="C32" s="1" t="s">
        <v>11</v>
      </c>
      <c r="D32" s="1">
        <v>2210</v>
      </c>
      <c r="E32" s="1" t="s">
        <v>28</v>
      </c>
      <c r="F32" s="6">
        <v>19</v>
      </c>
    </row>
    <row r="33" spans="1:6" x14ac:dyDescent="0.25">
      <c r="A33" s="5">
        <v>1033</v>
      </c>
      <c r="B33" s="1" t="s">
        <v>10</v>
      </c>
      <c r="C33" s="1" t="s">
        <v>11</v>
      </c>
      <c r="D33" s="1">
        <v>838</v>
      </c>
      <c r="E33" s="1" t="s">
        <v>33</v>
      </c>
      <c r="F33" s="6">
        <v>10</v>
      </c>
    </row>
    <row r="34" spans="1:6" x14ac:dyDescent="0.25">
      <c r="A34" s="5">
        <v>1034</v>
      </c>
      <c r="B34" s="1" t="s">
        <v>23</v>
      </c>
      <c r="C34" s="1" t="s">
        <v>11</v>
      </c>
      <c r="D34" s="1">
        <v>1583</v>
      </c>
      <c r="E34" s="1" t="s">
        <v>37</v>
      </c>
      <c r="F34" s="6">
        <v>4</v>
      </c>
    </row>
    <row r="35" spans="1:6" x14ac:dyDescent="0.25">
      <c r="A35" s="5">
        <v>1035</v>
      </c>
      <c r="B35" s="1" t="s">
        <v>8</v>
      </c>
      <c r="C35" s="1" t="s">
        <v>11</v>
      </c>
      <c r="D35" s="1">
        <v>1209</v>
      </c>
      <c r="E35" s="1" t="s">
        <v>30</v>
      </c>
      <c r="F35" s="6">
        <v>19</v>
      </c>
    </row>
    <row r="36" spans="1:6" x14ac:dyDescent="0.25">
      <c r="A36" s="5">
        <v>1036</v>
      </c>
      <c r="B36" s="1" t="s">
        <v>23</v>
      </c>
      <c r="C36" s="1" t="s">
        <v>11</v>
      </c>
      <c r="D36" s="1">
        <v>990</v>
      </c>
      <c r="E36" s="1" t="s">
        <v>28</v>
      </c>
      <c r="F36" s="6">
        <v>19</v>
      </c>
    </row>
    <row r="37" spans="1:6" x14ac:dyDescent="0.25">
      <c r="A37" s="5">
        <v>1037</v>
      </c>
      <c r="B37" s="1" t="s">
        <v>31</v>
      </c>
      <c r="C37" s="1" t="s">
        <v>13</v>
      </c>
      <c r="D37" s="1">
        <v>2521</v>
      </c>
      <c r="E37" s="1" t="s">
        <v>35</v>
      </c>
      <c r="F37" s="6">
        <v>6</v>
      </c>
    </row>
    <row r="38" spans="1:6" x14ac:dyDescent="0.25">
      <c r="A38" s="5">
        <v>1038</v>
      </c>
      <c r="B38" s="1" t="s">
        <v>23</v>
      </c>
      <c r="C38" s="1" t="s">
        <v>11</v>
      </c>
      <c r="D38" s="1">
        <v>1076</v>
      </c>
      <c r="E38" s="1" t="s">
        <v>36</v>
      </c>
      <c r="F38" s="6">
        <v>11</v>
      </c>
    </row>
    <row r="39" spans="1:6" x14ac:dyDescent="0.25">
      <c r="A39" s="5">
        <v>1039</v>
      </c>
      <c r="B39" s="1" t="s">
        <v>32</v>
      </c>
      <c r="C39" s="1" t="s">
        <v>19</v>
      </c>
      <c r="D39" s="1">
        <v>2943</v>
      </c>
      <c r="E39" s="1" t="s">
        <v>26</v>
      </c>
      <c r="F39" s="6">
        <v>10</v>
      </c>
    </row>
    <row r="40" spans="1:6" x14ac:dyDescent="0.25">
      <c r="A40" s="5">
        <v>1040</v>
      </c>
      <c r="B40" s="1" t="s">
        <v>29</v>
      </c>
      <c r="C40" s="1" t="s">
        <v>21</v>
      </c>
      <c r="D40" s="1">
        <v>2123</v>
      </c>
      <c r="E40" s="1" t="s">
        <v>36</v>
      </c>
      <c r="F40" s="6">
        <v>19</v>
      </c>
    </row>
    <row r="41" spans="1:6" x14ac:dyDescent="0.25">
      <c r="A41" s="5">
        <v>1041</v>
      </c>
      <c r="B41" s="1" t="s">
        <v>32</v>
      </c>
      <c r="C41" s="1" t="s">
        <v>19</v>
      </c>
      <c r="D41" s="1">
        <v>1236</v>
      </c>
      <c r="E41" s="1" t="s">
        <v>38</v>
      </c>
      <c r="F41" s="6">
        <v>13</v>
      </c>
    </row>
    <row r="42" spans="1:6" x14ac:dyDescent="0.25">
      <c r="A42" s="5">
        <v>1042</v>
      </c>
      <c r="B42" s="1" t="s">
        <v>15</v>
      </c>
      <c r="C42" s="1" t="s">
        <v>11</v>
      </c>
      <c r="D42" s="1">
        <v>2169</v>
      </c>
      <c r="E42" s="1" t="s">
        <v>28</v>
      </c>
      <c r="F42" s="6">
        <v>11</v>
      </c>
    </row>
    <row r="43" spans="1:6" x14ac:dyDescent="0.25">
      <c r="A43" s="5">
        <v>1043</v>
      </c>
      <c r="B43" s="1" t="s">
        <v>31</v>
      </c>
      <c r="C43" s="1" t="s">
        <v>13</v>
      </c>
      <c r="D43" s="1">
        <v>700</v>
      </c>
      <c r="E43" s="1" t="s">
        <v>27</v>
      </c>
      <c r="F43" s="6">
        <v>9</v>
      </c>
    </row>
    <row r="44" spans="1:6" x14ac:dyDescent="0.25">
      <c r="A44" s="5">
        <v>1044</v>
      </c>
      <c r="B44" s="1" t="s">
        <v>32</v>
      </c>
      <c r="C44" s="1" t="s">
        <v>19</v>
      </c>
      <c r="D44" s="1">
        <v>2165</v>
      </c>
      <c r="E44" s="1" t="s">
        <v>34</v>
      </c>
      <c r="F44" s="6">
        <v>2</v>
      </c>
    </row>
    <row r="45" spans="1:6" x14ac:dyDescent="0.25">
      <c r="A45" s="7">
        <v>1045</v>
      </c>
      <c r="B45" s="8" t="s">
        <v>8</v>
      </c>
      <c r="C45" s="8" t="s">
        <v>11</v>
      </c>
      <c r="D45" s="8">
        <v>2566</v>
      </c>
      <c r="E45" s="8" t="s">
        <v>27</v>
      </c>
      <c r="F45" s="9">
        <v>6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77E9CA-5827-42AD-B00E-27FFA9ED45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Auction</vt:lpstr>
      <vt:lpstr>videojuegos</vt:lpstr>
      <vt:lpstr>Auction Analysis</vt:lpstr>
      <vt:lpstr>Pricing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Sergio</dc:creator>
  <cp:lastModifiedBy>Sergio Varela</cp:lastModifiedBy>
  <dcterms:created xsi:type="dcterms:W3CDTF">2026-01-31T03:22:08Z</dcterms:created>
  <dcterms:modified xsi:type="dcterms:W3CDTF">2026-03-12T21:30:25Z</dcterms:modified>
</cp:coreProperties>
</file>